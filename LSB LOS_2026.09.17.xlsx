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Relationship Id="rId5" Type="http://schemas.microsoft.com/office/2020/02/relationships/classificationlabels" Target="docMetadata/LabelInfo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LSBIV NET" sheetId="1" state="visible" r:id="rId1"/>
    <sheet name="LSBV NET" sheetId="2" state="visible" r:id="rId2"/>
    <sheet name="GROSS LSB CENTRAL HZ" sheetId="3" state="visible" r:id="rId3"/>
    <sheet name="GROSS LSB V HZ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.00"/>
    <numFmt numFmtId="166" formatCode="_(&quot;$&quot;* #,##0.00_);_(&quot;$&quot;* \(#,##0.00\);_(&quot;$&quot;* &quot;-&quot;??_);_(@_)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0000FF"/>
      <sz val="11"/>
      <scheme val="minor"/>
    </font>
    <font>
      <name val="Aptos Narrow"/>
      <family val="2"/>
      <i val="1"/>
      <color rgb="FF0000FF"/>
      <sz val="11"/>
      <scheme val="minor"/>
    </font>
    <font>
      <name val="Aptos Narrow"/>
      <family val="2"/>
      <color rgb="FF0000FF"/>
      <sz val="11"/>
      <scheme val="minor"/>
    </font>
    <font>
      <name val="Aptos Narrow"/>
      <family val="2"/>
      <i val="1"/>
      <color rgb="FFFF0000"/>
      <sz val="11"/>
      <scheme val="minor"/>
    </font>
    <font>
      <name val="Aptos Narrow"/>
      <family val="2"/>
      <b val="1"/>
      <i val="1"/>
      <color rgb="FFFF0000"/>
      <sz val="11"/>
      <scheme val="minor"/>
    </font>
    <font>
      <name val="Times New Roman"/>
      <family val="1"/>
      <b val="1"/>
      <color theme="1"/>
      <sz val="11"/>
    </font>
    <font>
      <name val="Aptos Narrow"/>
      <family val="2"/>
      <b val="1"/>
      <color rgb="FFFF0000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0"/>
      <scheme val="minor"/>
    </font>
  </fonts>
  <fills count="3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25" fillId="0" borderId="0"/>
    <xf numFmtId="9" fontId="25" fillId="0" borderId="0"/>
    <xf numFmtId="0" fontId="11" fillId="0" borderId="0"/>
    <xf numFmtId="0" fontId="12" fillId="0" borderId="3"/>
    <xf numFmtId="0" fontId="13" fillId="0" borderId="4"/>
    <xf numFmtId="0" fontId="14" fillId="0" borderId="5"/>
    <xf numFmtId="0" fontId="14" fillId="0" borderId="0"/>
    <xf numFmtId="0" fontId="15" fillId="5" borderId="0"/>
    <xf numFmtId="0" fontId="16" fillId="6" borderId="0"/>
    <xf numFmtId="0" fontId="17" fillId="7" borderId="0"/>
    <xf numFmtId="0" fontId="18" fillId="8" borderId="6"/>
    <xf numFmtId="0" fontId="19" fillId="9" borderId="7"/>
    <xf numFmtId="0" fontId="20" fillId="9" borderId="6"/>
    <xf numFmtId="0" fontId="21" fillId="0" borderId="8"/>
    <xf numFmtId="0" fontId="22" fillId="10" borderId="9"/>
    <xf numFmtId="0" fontId="2" fillId="0" borderId="0"/>
    <xf numFmtId="0" fontId="25" fillId="11" borderId="10"/>
    <xf numFmtId="0" fontId="23" fillId="0" borderId="0"/>
    <xf numFmtId="0" fontId="3" fillId="0" borderId="11"/>
    <xf numFmtId="0" fontId="24" fillId="12" borderId="0"/>
    <xf numFmtId="0" fontId="25" fillId="13" borderId="0"/>
    <xf numFmtId="0" fontId="25" fillId="14" borderId="0"/>
    <xf numFmtId="0" fontId="25" fillId="15" borderId="0"/>
    <xf numFmtId="0" fontId="24" fillId="16" borderId="0"/>
    <xf numFmtId="0" fontId="25" fillId="17" borderId="0"/>
    <xf numFmtId="0" fontId="25" fillId="18" borderId="0"/>
    <xf numFmtId="0" fontId="25" fillId="19" borderId="0"/>
    <xf numFmtId="0" fontId="24" fillId="20" borderId="0"/>
    <xf numFmtId="0" fontId="25" fillId="21" borderId="0"/>
    <xf numFmtId="0" fontId="25" fillId="22" borderId="0"/>
    <xf numFmtId="0" fontId="25" fillId="23" borderId="0"/>
    <xf numFmtId="0" fontId="24" fillId="24" borderId="0"/>
    <xf numFmtId="0" fontId="25" fillId="25" borderId="0"/>
    <xf numFmtId="0" fontId="25" fillId="26" borderId="0"/>
    <xf numFmtId="0" fontId="25" fillId="27" borderId="0"/>
    <xf numFmtId="0" fontId="24" fillId="28" borderId="0"/>
    <xf numFmtId="0" fontId="25" fillId="29" borderId="0"/>
    <xf numFmtId="0" fontId="25" fillId="30" borderId="0"/>
    <xf numFmtId="0" fontId="25" fillId="31" borderId="0"/>
    <xf numFmtId="0" fontId="24" fillId="32" borderId="0"/>
    <xf numFmtId="0" fontId="25" fillId="33" borderId="0"/>
    <xf numFmtId="0" fontId="25" fillId="34" borderId="0"/>
    <xf numFmtId="0" fontId="25" fillId="35" borderId="0"/>
    <xf numFmtId="0" fontId="25" fillId="0" borderId="0"/>
    <xf numFmtId="0" fontId="26" fillId="0" borderId="0"/>
  </cellStyleXfs>
  <cellXfs count="58">
    <xf numFmtId="0" fontId="0" fillId="0" borderId="0" pivotButton="0" quotePrefix="0" xfId="0"/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4" fontId="6" fillId="0" borderId="0" pivotButton="0" quotePrefix="0" xfId="0"/>
    <xf numFmtId="0" fontId="7" fillId="0" borderId="0" applyAlignment="1" pivotButton="0" quotePrefix="0" xfId="0">
      <alignment horizontal="right"/>
    </xf>
    <xf numFmtId="0" fontId="6" fillId="0" borderId="0" pivotButton="0" quotePrefix="0" xfId="0"/>
    <xf numFmtId="164" fontId="6" fillId="0" borderId="0" pivotButton="0" quotePrefix="0" xfId="1"/>
    <xf numFmtId="3" fontId="0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horizontal="left" indent="3"/>
    </xf>
    <xf numFmtId="0" fontId="1" fillId="0" borderId="0" pivotButton="0" quotePrefix="0" xfId="0"/>
    <xf numFmtId="0" fontId="0" fillId="0" borderId="1" applyAlignment="1" pivotButton="0" quotePrefix="0" xfId="0">
      <alignment horizontal="left" indent="3"/>
    </xf>
    <xf numFmtId="0" fontId="1" fillId="0" borderId="1" pivotButton="0" quotePrefix="0" xfId="0"/>
    <xf numFmtId="0" fontId="0" fillId="0" borderId="1" pivotButton="0" quotePrefix="0" xfId="0"/>
    <xf numFmtId="0" fontId="0" fillId="2" borderId="0" applyAlignment="1" pivotButton="0" quotePrefix="0" xfId="0">
      <alignment horizontal="left" indent="3"/>
    </xf>
    <xf numFmtId="0" fontId="0" fillId="3" borderId="0" applyAlignment="1" pivotButton="0" quotePrefix="0" xfId="0">
      <alignment horizontal="left" indent="3"/>
    </xf>
    <xf numFmtId="0" fontId="0" fillId="4" borderId="0" applyAlignment="1" pivotButton="0" quotePrefix="0" xfId="0">
      <alignment horizontal="left" indent="3"/>
    </xf>
    <xf numFmtId="0" fontId="0" fillId="4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0" fillId="0" borderId="2" pivotButton="0" quotePrefix="0" xfId="0"/>
    <xf numFmtId="0" fontId="3" fillId="0" borderId="2" pivotButton="0" quotePrefix="0" xfId="0"/>
    <xf numFmtId="9" fontId="6" fillId="0" borderId="0" pivotButton="0" quotePrefix="0" xfId="1"/>
    <xf numFmtId="3" fontId="0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left"/>
    </xf>
    <xf numFmtId="0" fontId="10" fillId="0" borderId="0" pivotButton="0" quotePrefix="0" xfId="0"/>
    <xf numFmtId="0" fontId="5" fillId="3" borderId="0" applyAlignment="1" pivotButton="0" quotePrefix="0" xfId="0">
      <alignment horizontal="right"/>
    </xf>
    <xf numFmtId="0" fontId="5" fillId="2" borderId="0" applyAlignment="1" pivotButton="0" quotePrefix="0" xfId="0">
      <alignment horizontal="right"/>
    </xf>
    <xf numFmtId="1" fontId="5" fillId="0" borderId="0" applyAlignment="1" pivotButton="0" quotePrefix="0" xfId="0">
      <alignment horizontal="right"/>
    </xf>
    <xf numFmtId="165" fontId="2" fillId="0" borderId="0" pivotButton="0" quotePrefix="0" xfId="0"/>
    <xf numFmtId="0" fontId="0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2" fontId="0" fillId="0" borderId="0" pivotButton="0" quotePrefix="0" xfId="0"/>
    <xf numFmtId="42" fontId="6" fillId="0" borderId="0" pivotButton="0" quotePrefix="0" xfId="0"/>
    <xf numFmtId="42" fontId="2" fillId="0" borderId="0" pivotButton="0" quotePrefix="0" xfId="0"/>
    <xf numFmtId="166" fontId="0" fillId="0" borderId="0" pivotButton="0" quotePrefix="0" xfId="0"/>
    <xf numFmtId="166" fontId="6" fillId="0" borderId="0" pivotButton="0" quotePrefix="0" xfId="0"/>
    <xf numFmtId="41" fontId="0" fillId="0" borderId="0" pivotButton="0" quotePrefix="0" xfId="0"/>
    <xf numFmtId="41" fontId="6" fillId="0" borderId="0" pivotButton="0" quotePrefix="0" xfId="0"/>
    <xf numFmtId="42" fontId="8" fillId="0" borderId="0" applyAlignment="1" pivotButton="0" quotePrefix="0" xfId="0">
      <alignment horizontal="center"/>
    </xf>
    <xf numFmtId="42" fontId="3" fillId="0" borderId="0" pivotButton="0" quotePrefix="0" xfId="0"/>
    <xf numFmtId="42" fontId="10" fillId="0" borderId="0" applyAlignment="1" pivotButton="0" quotePrefix="0" xfId="0">
      <alignment horizontal="center"/>
    </xf>
    <xf numFmtId="166" fontId="8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center"/>
    </xf>
    <xf numFmtId="41" fontId="6" fillId="0" borderId="0" pivotButton="0" quotePrefix="0" xfId="1"/>
    <xf numFmtId="166" fontId="0" fillId="0" borderId="0" pivotButton="0" quotePrefix="0" xfId="0"/>
    <xf numFmtId="166" fontId="6" fillId="0" borderId="0" pivotButton="0" quotePrefix="0" xfId="0"/>
    <xf numFmtId="165" fontId="2" fillId="0" borderId="0" applyAlignment="1" pivotButton="0" quotePrefix="0" xfId="0">
      <alignment horizontal="center"/>
    </xf>
    <xf numFmtId="164" fontId="6" fillId="0" borderId="0" pivotButton="0" quotePrefix="0" xfId="1"/>
    <xf numFmtId="166" fontId="8" fillId="0" borderId="0" applyAlignment="1" pivotButton="0" quotePrefix="0" xfId="0">
      <alignment horizontal="left"/>
    </xf>
    <xf numFmtId="166" fontId="10" fillId="0" borderId="0" applyAlignment="1" pivotButton="0" quotePrefix="0" xfId="0">
      <alignment horizontal="center"/>
    </xf>
    <xf numFmtId="165" fontId="2" fillId="0" borderId="0" pivotButton="0" quotePrefix="0" xfId="0"/>
  </cellXfs>
  <cellStyles count="45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  <cellStyle name="Normal 2" xfId="43"/>
    <cellStyle name="Normal 3" xfId="4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30</col>
      <colOff>89646</colOff>
      <row>110</row>
      <rowOff>56029</rowOff>
    </from>
    <to>
      <col>42</col>
      <colOff>607183</colOff>
      <row>127</row>
      <rowOff>104113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7136293" y="22198853"/>
          <a:ext cx="10793331" cy="328658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30</col>
      <colOff>78441</colOff>
      <row>128</row>
      <rowOff>11206</rowOff>
    </from>
    <to>
      <col>42</col>
      <colOff>529294</colOff>
      <row>145</row>
      <rowOff>40237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37125088" y="25583030"/>
          <a:ext cx="10726647" cy="3267531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44823</colOff>
      <row>109</row>
      <rowOff>0</rowOff>
    </from>
    <to>
      <col>17</col>
      <colOff>469595</colOff>
      <row>122</row>
      <rowOff>171820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328147" y="21190324"/>
          <a:ext cx="11202963" cy="264832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0"/>
  <sheetViews>
    <sheetView tabSelected="1" view="pageBreakPreview" zoomScale="60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39.5703125" bestFit="1" customWidth="1" min="1" max="1"/>
    <col width="12.5703125" bestFit="1" customWidth="1" min="3" max="3"/>
    <col width="13.5703125" bestFit="1" customWidth="1" min="4" max="4"/>
    <col width="11.28515625" bestFit="1" customWidth="1" min="5" max="5"/>
    <col width="9.85546875" bestFit="1" customWidth="1" min="6" max="6"/>
    <col width="9.28515625" bestFit="1" customWidth="1" min="7" max="7"/>
    <col width="9.7109375" bestFit="1" customWidth="1" min="8" max="8"/>
    <col width="9" bestFit="1" customWidth="1" min="9" max="9"/>
    <col width="11.7109375" bestFit="1" customWidth="1" min="10" max="10"/>
    <col width="15.140625" bestFit="1" customWidth="1" min="11" max="11"/>
    <col width="12.7109375" bestFit="1" customWidth="1" min="12" max="12"/>
    <col width="14.85546875" bestFit="1" customWidth="1" min="13" max="13"/>
    <col width="14.7109375" bestFit="1" customWidth="1" min="14" max="14"/>
    <col width="14" bestFit="1" customWidth="1" min="15" max="15"/>
    <col width="14" bestFit="1" customWidth="1" min="17" max="20"/>
    <col width="12" bestFit="1" customWidth="1" min="21" max="21"/>
    <col width="14" bestFit="1" customWidth="1" min="22" max="24"/>
    <col width="15.140625" bestFit="1" customWidth="1" min="25" max="25"/>
    <col width="13.7109375" bestFit="1" customWidth="1" min="26" max="26"/>
    <col width="14.7109375" bestFit="1" customWidth="1" min="27" max="27"/>
    <col width="14.5703125" bestFit="1" customWidth="1" min="28" max="28"/>
    <col width="10.42578125" bestFit="1" customWidth="1" min="29" max="29"/>
    <col width="13.7109375" bestFit="1" customWidth="1" min="31" max="38"/>
    <col width="15" bestFit="1" customWidth="1" min="39" max="39"/>
    <col width="13.7109375" bestFit="1" customWidth="1" min="40" max="40"/>
    <col width="14.7109375" bestFit="1" customWidth="1" min="41" max="41"/>
    <col width="14.5703125" bestFit="1" customWidth="1" min="42" max="42"/>
    <col width="11.42578125" bestFit="1" customWidth="1" min="43" max="43"/>
    <col width="12.42578125" bestFit="1" customWidth="1" min="45" max="45"/>
    <col width="13.42578125" bestFit="1" customWidth="1" min="46" max="46"/>
    <col width="11.42578125" bestFit="1" customWidth="1" min="47" max="51"/>
    <col width="11.5703125" bestFit="1" customWidth="1" min="52" max="52"/>
    <col width="15" bestFit="1" customWidth="1" min="53" max="53"/>
    <col width="12.5703125" bestFit="1" customWidth="1" min="54" max="54"/>
    <col width="14.7109375" bestFit="1" customWidth="1" min="55" max="55"/>
    <col width="14.5703125" bestFit="1" customWidth="1" min="56" max="56"/>
    <col width="12.42578125" bestFit="1" customWidth="1" min="57" max="57"/>
    <col width="12.28515625" customWidth="1" min="59" max="65"/>
    <col width="10.85546875" customWidth="1" min="66" max="66"/>
  </cols>
  <sheetData>
    <row r="1">
      <c r="A1" s="28" t="inlineStr">
        <is>
          <t>LSBIV NET LOS - EXCLUDES P&amp;A AND SOLD WELLS</t>
        </is>
      </c>
    </row>
    <row r="2" customFormat="1" s="8">
      <c r="A2" s="8" t="inlineStr">
        <is>
          <t>Production:</t>
        </is>
      </c>
      <c r="C2" s="8" t="inlineStr">
        <is>
          <t>January 2022</t>
        </is>
      </c>
      <c r="D2" s="8" t="inlineStr">
        <is>
          <t>February 2022</t>
        </is>
      </c>
      <c r="E2" s="8" t="inlineStr">
        <is>
          <t>March 2022</t>
        </is>
      </c>
      <c r="F2" s="8" t="inlineStr">
        <is>
          <t>April 2022</t>
        </is>
      </c>
      <c r="G2" s="8" t="inlineStr">
        <is>
          <t>May 2022</t>
        </is>
      </c>
      <c r="H2" s="8" t="inlineStr">
        <is>
          <t>June 2022</t>
        </is>
      </c>
      <c r="I2" s="8" t="inlineStr">
        <is>
          <t>July 2022</t>
        </is>
      </c>
      <c r="J2" s="8" t="inlineStr">
        <is>
          <t>August 2022</t>
        </is>
      </c>
      <c r="K2" s="8" t="inlineStr">
        <is>
          <t>September 2022</t>
        </is>
      </c>
      <c r="L2" s="8" t="inlineStr">
        <is>
          <t>October 2022</t>
        </is>
      </c>
      <c r="M2" s="8" t="inlineStr">
        <is>
          <t>November 2022</t>
        </is>
      </c>
      <c r="N2" s="8" t="inlineStr">
        <is>
          <t>December 2022</t>
        </is>
      </c>
      <c r="O2" s="8" t="inlineStr">
        <is>
          <t>2022 Total</t>
        </is>
      </c>
      <c r="Q2" s="8" t="inlineStr">
        <is>
          <t>January 2023</t>
        </is>
      </c>
      <c r="R2" s="8" t="inlineStr">
        <is>
          <t>February 2023</t>
        </is>
      </c>
      <c r="S2" s="8" t="inlineStr">
        <is>
          <t>March 2023</t>
        </is>
      </c>
      <c r="T2" s="8" t="inlineStr">
        <is>
          <t>April 2023</t>
        </is>
      </c>
      <c r="U2" s="8" t="inlineStr">
        <is>
          <t>May 2023</t>
        </is>
      </c>
      <c r="V2" s="8" t="inlineStr">
        <is>
          <t>June 2023</t>
        </is>
      </c>
      <c r="W2" s="8" t="inlineStr">
        <is>
          <t>July 2023</t>
        </is>
      </c>
      <c r="X2" s="8" t="inlineStr">
        <is>
          <t>August 2023</t>
        </is>
      </c>
      <c r="Y2" s="8" t="inlineStr">
        <is>
          <t>September 2023</t>
        </is>
      </c>
      <c r="Z2" s="8" t="inlineStr">
        <is>
          <t>October 2023</t>
        </is>
      </c>
      <c r="AA2" s="8" t="inlineStr">
        <is>
          <t>November 2023</t>
        </is>
      </c>
      <c r="AB2" s="8" t="inlineStr">
        <is>
          <t>December 2023</t>
        </is>
      </c>
      <c r="AC2" s="8" t="inlineStr">
        <is>
          <t>2023 Total</t>
        </is>
      </c>
      <c r="AE2" s="8" t="inlineStr">
        <is>
          <t>January 2024</t>
        </is>
      </c>
      <c r="AF2" s="8" t="inlineStr">
        <is>
          <t>February 2024</t>
        </is>
      </c>
      <c r="AG2" s="8" t="inlineStr">
        <is>
          <t>March 2024</t>
        </is>
      </c>
      <c r="AH2" s="8" t="inlineStr">
        <is>
          <t>April 2024</t>
        </is>
      </c>
      <c r="AI2" s="8" t="inlineStr">
        <is>
          <t>May 2024</t>
        </is>
      </c>
      <c r="AJ2" s="8" t="inlineStr">
        <is>
          <t>June 2024</t>
        </is>
      </c>
      <c r="AK2" s="8" t="inlineStr">
        <is>
          <t>July 2024</t>
        </is>
      </c>
      <c r="AL2" s="8" t="inlineStr">
        <is>
          <t>August 2024</t>
        </is>
      </c>
      <c r="AM2" s="8" t="inlineStr">
        <is>
          <t>September 2024</t>
        </is>
      </c>
      <c r="AN2" s="8" t="inlineStr">
        <is>
          <t>October 2024</t>
        </is>
      </c>
      <c r="AO2" s="8" t="inlineStr">
        <is>
          <t>November 2024</t>
        </is>
      </c>
      <c r="AP2" s="8" t="inlineStr">
        <is>
          <t>December 2024</t>
        </is>
      </c>
      <c r="AQ2" s="8" t="inlineStr">
        <is>
          <t>2024 Total</t>
        </is>
      </c>
      <c r="AS2" s="8" t="inlineStr">
        <is>
          <t>January 2025</t>
        </is>
      </c>
      <c r="AT2" s="8" t="inlineStr">
        <is>
          <t>February 2025</t>
        </is>
      </c>
      <c r="AU2" s="8" t="inlineStr">
        <is>
          <t>March 2025</t>
        </is>
      </c>
      <c r="AV2" s="8" t="inlineStr">
        <is>
          <t>April 2025</t>
        </is>
      </c>
      <c r="AW2" s="8" t="inlineStr">
        <is>
          <t>May 2025</t>
        </is>
      </c>
      <c r="AX2" s="8" t="inlineStr">
        <is>
          <t>June 2025</t>
        </is>
      </c>
      <c r="AY2" s="8" t="inlineStr">
        <is>
          <t>July 2025</t>
        </is>
      </c>
      <c r="AZ2" s="8" t="inlineStr">
        <is>
          <t>August 2025</t>
        </is>
      </c>
      <c r="BA2" s="8" t="inlineStr">
        <is>
          <t>September 2025</t>
        </is>
      </c>
      <c r="BB2" s="8" t="inlineStr">
        <is>
          <t>October 2025</t>
        </is>
      </c>
      <c r="BC2" s="8" t="inlineStr">
        <is>
          <t>November 2025</t>
        </is>
      </c>
      <c r="BD2" s="8" t="inlineStr">
        <is>
          <t>December 2025</t>
        </is>
      </c>
      <c r="BE2" s="8" t="inlineStr">
        <is>
          <t>2025 Total</t>
        </is>
      </c>
      <c r="BG2" s="8" t="inlineStr">
        <is>
          <t>January 2026</t>
        </is>
      </c>
      <c r="BH2" s="8" t="inlineStr">
        <is>
          <t>February 2026</t>
        </is>
      </c>
      <c r="BI2" s="8" t="inlineStr">
        <is>
          <t>March 2026</t>
        </is>
      </c>
      <c r="BJ2" s="8" t="inlineStr">
        <is>
          <t>April 2026</t>
        </is>
      </c>
      <c r="BK2" s="8" t="inlineStr">
        <is>
          <t>May 2026</t>
        </is>
      </c>
      <c r="BL2" s="8" t="inlineStr">
        <is>
          <t>June 2026</t>
        </is>
      </c>
      <c r="BM2" s="8" t="inlineStr">
        <is>
          <t>July 2026</t>
        </is>
      </c>
    </row>
    <row r="3">
      <c r="A3" t="inlineStr">
        <is>
          <t>Oil sales</t>
        </is>
      </c>
      <c r="B3" t="inlineStr">
        <is>
          <t>Bbl</t>
        </is>
      </c>
      <c r="C3" s="43" t="n">
        <v>155493.93</v>
      </c>
      <c r="D3" s="43" t="n">
        <v>302707.34</v>
      </c>
      <c r="E3" s="43" t="n">
        <v>494744.61</v>
      </c>
      <c r="F3" s="43" t="n">
        <v>515390.41</v>
      </c>
      <c r="G3" s="43" t="n">
        <v>495438.77</v>
      </c>
      <c r="H3" s="43" t="n">
        <v>831245.5</v>
      </c>
      <c r="I3" s="43" t="n">
        <v>788948.9300000001</v>
      </c>
      <c r="J3" s="43" t="n">
        <v>996970.9300000001</v>
      </c>
      <c r="K3" s="43" t="n">
        <v>882456.78</v>
      </c>
      <c r="L3" s="43" t="n">
        <v>1040639.98</v>
      </c>
      <c r="M3" s="43" t="n">
        <v>1010702.05</v>
      </c>
      <c r="N3" s="43" t="n">
        <v>753454.09</v>
      </c>
      <c r="O3" s="43" t="n">
        <v>8268193.31</v>
      </c>
      <c r="P3" s="43" t="n"/>
      <c r="Q3" s="43" t="n">
        <v>837621</v>
      </c>
      <c r="R3" s="43" t="n">
        <v>823463.03</v>
      </c>
      <c r="S3" s="43" t="n">
        <v>803883.64</v>
      </c>
      <c r="T3" s="43" t="n">
        <v>878221.42</v>
      </c>
      <c r="U3" s="43" t="n">
        <v>843609.04</v>
      </c>
      <c r="V3" s="43" t="n">
        <v>730960.73</v>
      </c>
      <c r="W3" s="43" t="n">
        <v>719915.9300000001</v>
      </c>
      <c r="X3" s="43" t="n">
        <v>695286.79</v>
      </c>
      <c r="Y3" s="43" t="n">
        <v>689392.55</v>
      </c>
      <c r="Z3" s="43" t="n">
        <v>631530.11</v>
      </c>
      <c r="AA3" s="43" t="n">
        <v>662333.77</v>
      </c>
      <c r="AB3" s="43" t="n">
        <v>603925.0699999999</v>
      </c>
      <c r="AC3" s="43" t="n">
        <v>8920143.08</v>
      </c>
      <c r="AD3" s="43" t="n"/>
      <c r="AE3" s="43" t="n">
        <v>669444.97</v>
      </c>
      <c r="AF3" s="43" t="n">
        <v>613568.28</v>
      </c>
      <c r="AG3" s="43" t="n">
        <v>528697.11</v>
      </c>
      <c r="AH3" s="43" t="n">
        <v>537674.33</v>
      </c>
      <c r="AI3" s="43" t="n">
        <v>532697.99</v>
      </c>
      <c r="AJ3" s="43" t="n">
        <v>495343.94</v>
      </c>
      <c r="AK3" s="43" t="n">
        <v>532909.1</v>
      </c>
      <c r="AL3" s="43" t="n">
        <v>518843.15</v>
      </c>
      <c r="AM3" s="43" t="n">
        <v>495124.16</v>
      </c>
      <c r="AN3" s="43" t="n">
        <v>487210.7</v>
      </c>
      <c r="AO3" s="43" t="n">
        <v>494772.85</v>
      </c>
      <c r="AP3" s="43" t="n">
        <v>419033.57</v>
      </c>
      <c r="AQ3" s="43" t="n">
        <v>6325320.15</v>
      </c>
      <c r="AR3" s="43" t="n"/>
      <c r="AS3" s="43" t="n">
        <v>403880.45</v>
      </c>
      <c r="AT3" s="43" t="n">
        <v>458155</v>
      </c>
      <c r="AU3" s="43" t="n">
        <v>360193.97</v>
      </c>
      <c r="AV3" s="43" t="n">
        <v>417083.19</v>
      </c>
      <c r="AW3" s="43" t="n">
        <v>343020.42</v>
      </c>
      <c r="AX3" s="43" t="n">
        <v>352736.33</v>
      </c>
      <c r="AY3" s="43" t="n">
        <v>342226.29</v>
      </c>
      <c r="AZ3" s="43" t="n">
        <v>266813.89</v>
      </c>
      <c r="BA3" s="43" t="n">
        <v>357422.74</v>
      </c>
      <c r="BB3" s="43" t="n">
        <v>283946.41</v>
      </c>
      <c r="BC3" s="43" t="n">
        <v>304670.77</v>
      </c>
      <c r="BD3" s="43" t="n">
        <v>309490</v>
      </c>
      <c r="BE3" s="43" t="n">
        <v>4199639.46</v>
      </c>
      <c r="BF3" s="43" t="n"/>
      <c r="BG3" s="43" t="n">
        <v>285806.54</v>
      </c>
      <c r="BH3" s="43" t="n">
        <v>291571.11</v>
      </c>
      <c r="BI3" s="43" t="n">
        <v>287425.31</v>
      </c>
      <c r="BJ3" s="43" t="n">
        <v>279283.2</v>
      </c>
      <c r="BK3" s="43" t="n">
        <v>262217.26</v>
      </c>
      <c r="BL3" s="43" t="n">
        <v>246159.62</v>
      </c>
      <c r="BM3" s="43" t="n">
        <v>249608.11</v>
      </c>
    </row>
    <row r="4">
      <c r="A4" t="inlineStr">
        <is>
          <t>Natural gas sales</t>
        </is>
      </c>
      <c r="B4" t="inlineStr">
        <is>
          <t>Mcf</t>
        </is>
      </c>
      <c r="C4" s="43" t="n">
        <v>812666.23</v>
      </c>
      <c r="D4" s="43" t="n">
        <v>1744174.27</v>
      </c>
      <c r="E4" s="43" t="n">
        <v>2762116.15</v>
      </c>
      <c r="F4" s="43" t="n">
        <v>3079106.48</v>
      </c>
      <c r="G4" s="43" t="n">
        <v>2885771.51</v>
      </c>
      <c r="H4" s="43" t="n">
        <v>4480033.87</v>
      </c>
      <c r="I4" s="43" t="n">
        <v>4206172.13</v>
      </c>
      <c r="J4" s="43" t="n">
        <v>5406376.32</v>
      </c>
      <c r="K4" s="43" t="n">
        <v>4968826.8</v>
      </c>
      <c r="L4" s="43" t="n">
        <v>5390917.36</v>
      </c>
      <c r="M4" s="43" t="n">
        <v>5671141.57</v>
      </c>
      <c r="N4" s="43" t="n">
        <v>4324543.12</v>
      </c>
      <c r="O4" s="43" t="n">
        <v>45731845.79</v>
      </c>
      <c r="P4" s="43" t="n"/>
      <c r="Q4" s="43" t="n">
        <v>4291532.43</v>
      </c>
      <c r="R4" s="43" t="n">
        <v>4063297.69</v>
      </c>
      <c r="S4" s="43" t="n">
        <v>4247784.15</v>
      </c>
      <c r="T4" s="43" t="n">
        <v>4147005.03</v>
      </c>
      <c r="U4" s="43" t="n">
        <v>4071807.27</v>
      </c>
      <c r="V4" s="43" t="n">
        <v>4282051.48</v>
      </c>
      <c r="W4" s="43" t="n">
        <v>3849266.43</v>
      </c>
      <c r="X4" s="43" t="n">
        <v>3625103.52</v>
      </c>
      <c r="Y4" s="43" t="n">
        <v>3310816.35</v>
      </c>
      <c r="Z4" s="43" t="n">
        <v>2922609.57</v>
      </c>
      <c r="AA4" s="43" t="n">
        <v>3666333.54</v>
      </c>
      <c r="AB4" s="43" t="n">
        <v>2866071.4</v>
      </c>
      <c r="AC4" s="43" t="n">
        <v>45343678.86</v>
      </c>
      <c r="AD4" s="43" t="n"/>
      <c r="AE4" s="43" t="n">
        <v>3331569.21</v>
      </c>
      <c r="AF4" s="43" t="n">
        <v>2911827.68</v>
      </c>
      <c r="AG4" s="43" t="n">
        <v>2394920.23</v>
      </c>
      <c r="AH4" s="43" t="n">
        <v>3033255.61</v>
      </c>
      <c r="AI4" s="43" t="n">
        <v>2628762.53</v>
      </c>
      <c r="AJ4" s="43" t="n">
        <v>2256343.26</v>
      </c>
      <c r="AK4" s="43" t="n">
        <v>2542476.46</v>
      </c>
      <c r="AL4" s="43" t="n">
        <v>2514500.58</v>
      </c>
      <c r="AM4" s="43" t="n">
        <v>2824045.36</v>
      </c>
      <c r="AN4" s="43" t="n">
        <v>2432812.42</v>
      </c>
      <c r="AO4" s="43" t="n">
        <v>2341460.8</v>
      </c>
      <c r="AP4" s="43" t="n">
        <v>2414899.32</v>
      </c>
      <c r="AQ4" s="43" t="n">
        <v>31626873.46</v>
      </c>
      <c r="AR4" s="43" t="n"/>
      <c r="AS4" s="43" t="n">
        <v>1859875.68</v>
      </c>
      <c r="AT4" s="43" t="n">
        <v>2508172.45</v>
      </c>
      <c r="AU4" s="43" t="n">
        <v>2087131.09</v>
      </c>
      <c r="AV4" s="43" t="n">
        <v>2302864.22</v>
      </c>
      <c r="AW4" s="43" t="n">
        <v>1863438.91</v>
      </c>
      <c r="AX4" s="43" t="n">
        <v>1880707.09</v>
      </c>
      <c r="AY4" s="43" t="n">
        <v>1636360.57</v>
      </c>
      <c r="AZ4" s="43" t="n">
        <v>1312694</v>
      </c>
      <c r="BA4" s="43" t="n">
        <v>1935786.07</v>
      </c>
      <c r="BB4" s="43" t="n">
        <v>1392799.65</v>
      </c>
      <c r="BC4" s="43" t="n">
        <v>1543712.47</v>
      </c>
      <c r="BD4" s="43" t="n">
        <v>1553409.57</v>
      </c>
      <c r="BE4" s="43" t="n">
        <v>21876951.78</v>
      </c>
      <c r="BF4" s="43" t="n"/>
      <c r="BG4" s="43" t="n">
        <v>1697776.44</v>
      </c>
      <c r="BH4" s="43" t="n">
        <v>1721283.43</v>
      </c>
      <c r="BI4" s="43" t="n">
        <v>1536817.42</v>
      </c>
      <c r="BJ4" s="43" t="n">
        <v>1301434.22</v>
      </c>
      <c r="BK4" s="43" t="n">
        <v>1477538.48</v>
      </c>
      <c r="BL4" s="43" t="n">
        <v>1190368.66</v>
      </c>
      <c r="BM4" s="43" t="n">
        <v>1232421.53</v>
      </c>
    </row>
    <row r="5">
      <c r="A5" t="inlineStr">
        <is>
          <t>Natural gas liquid sales</t>
        </is>
      </c>
      <c r="B5" t="inlineStr">
        <is>
          <t>Bbl</t>
        </is>
      </c>
      <c r="C5" s="43" t="n">
        <v>88895.28</v>
      </c>
      <c r="D5" s="43" t="n">
        <v>197754.25</v>
      </c>
      <c r="E5" s="43" t="n">
        <v>334656.55</v>
      </c>
      <c r="F5" s="43" t="n">
        <v>340019.45</v>
      </c>
      <c r="G5" s="43" t="n">
        <v>401810.1</v>
      </c>
      <c r="H5" s="43" t="n">
        <v>533624.15</v>
      </c>
      <c r="I5" s="43" t="n">
        <v>504235.3</v>
      </c>
      <c r="J5" s="43" t="n">
        <v>735962.63</v>
      </c>
      <c r="K5" s="43" t="n">
        <v>583447.67</v>
      </c>
      <c r="L5" s="43" t="n">
        <v>596422.4300000001</v>
      </c>
      <c r="M5" s="43" t="n">
        <v>789496.21</v>
      </c>
      <c r="N5" s="43" t="n">
        <v>535401.41</v>
      </c>
      <c r="O5" s="43" t="n">
        <v>5641725.43</v>
      </c>
      <c r="P5" s="43" t="n"/>
      <c r="Q5" s="43" t="n">
        <v>513511.58</v>
      </c>
      <c r="R5" s="43" t="n">
        <v>489255.78</v>
      </c>
      <c r="S5" s="43" t="n">
        <v>557790.21</v>
      </c>
      <c r="T5" s="43" t="n">
        <v>505540.48</v>
      </c>
      <c r="U5" s="43" t="n">
        <v>526761.62</v>
      </c>
      <c r="V5" s="43" t="n">
        <v>490059.98</v>
      </c>
      <c r="W5" s="43" t="n">
        <v>429606.93</v>
      </c>
      <c r="X5" s="43" t="n">
        <v>383631.29</v>
      </c>
      <c r="Y5" s="43" t="n">
        <v>342747.24</v>
      </c>
      <c r="Z5" s="43" t="n">
        <v>352418.95</v>
      </c>
      <c r="AA5" s="43" t="n">
        <v>475900.31</v>
      </c>
      <c r="AB5" s="43" t="n">
        <v>322334.98</v>
      </c>
      <c r="AC5" s="43" t="n">
        <v>5389559.34</v>
      </c>
      <c r="AD5" s="43" t="n"/>
      <c r="AE5" s="43" t="n">
        <v>418005.15</v>
      </c>
      <c r="AF5" s="43" t="n">
        <v>300960.22</v>
      </c>
      <c r="AG5" s="43" t="n">
        <v>323383.58</v>
      </c>
      <c r="AH5" s="43" t="n">
        <v>315095.55</v>
      </c>
      <c r="AI5" s="43" t="n">
        <v>366111.35</v>
      </c>
      <c r="AJ5" s="43" t="n">
        <v>284402.72</v>
      </c>
      <c r="AK5" s="43" t="n">
        <v>313763.43</v>
      </c>
      <c r="AL5" s="43" t="n">
        <v>346924.63</v>
      </c>
      <c r="AM5" s="43" t="n">
        <v>295858.4</v>
      </c>
      <c r="AN5" s="43" t="n">
        <v>328909.96</v>
      </c>
      <c r="AO5" s="43" t="n">
        <v>235711.1</v>
      </c>
      <c r="AP5" s="43" t="n">
        <v>309555.23</v>
      </c>
      <c r="AQ5" s="43" t="n">
        <v>3838681.33</v>
      </c>
      <c r="AR5" s="43" t="n"/>
      <c r="AS5" s="43" t="n">
        <v>211169.73</v>
      </c>
      <c r="AT5" s="43" t="n">
        <v>348184.77</v>
      </c>
      <c r="AU5" s="43" t="n">
        <v>231255.74</v>
      </c>
      <c r="AV5" s="43" t="n">
        <v>307856.15</v>
      </c>
      <c r="AW5" s="43" t="n">
        <v>192880.2</v>
      </c>
      <c r="AX5" s="43" t="n">
        <v>224009.44</v>
      </c>
      <c r="AY5" s="43" t="n">
        <v>209973.96</v>
      </c>
      <c r="AZ5" s="43" t="n">
        <v>165237.53</v>
      </c>
      <c r="BA5" s="43" t="n">
        <v>227820.1</v>
      </c>
      <c r="BB5" s="43" t="n">
        <v>140157.3</v>
      </c>
      <c r="BC5" s="43" t="n">
        <v>178047.45</v>
      </c>
      <c r="BD5" s="43" t="n">
        <v>212268.38</v>
      </c>
      <c r="BE5" s="43" t="n">
        <v>2648860.75</v>
      </c>
      <c r="BF5" s="43" t="n"/>
      <c r="BG5" s="43" t="n">
        <v>189727.32</v>
      </c>
      <c r="BH5" s="43" t="n">
        <v>221883.14</v>
      </c>
      <c r="BI5" s="43" t="n">
        <v>193167.65</v>
      </c>
      <c r="BJ5" s="43" t="n">
        <v>149915.81</v>
      </c>
      <c r="BK5" s="43" t="n">
        <v>159461.41</v>
      </c>
      <c r="BL5" s="43" t="n">
        <v>131748.77</v>
      </c>
      <c r="BM5" s="43" t="n">
        <v>147858.24</v>
      </c>
    </row>
    <row r="6">
      <c r="A6" t="inlineStr">
        <is>
          <t>Grand Total</t>
        </is>
      </c>
      <c r="B6" t="inlineStr">
        <is>
          <t>BOE</t>
        </is>
      </c>
      <c r="C6" s="43" t="n">
        <v>379833.58</v>
      </c>
      <c r="D6" s="43" t="n">
        <v>791157.3</v>
      </c>
      <c r="E6" s="43" t="n">
        <v>1289753.85</v>
      </c>
      <c r="F6" s="43" t="n">
        <v>1368594.27</v>
      </c>
      <c r="G6" s="43" t="n">
        <v>1378210.79</v>
      </c>
      <c r="H6" s="43" t="n">
        <v>2111541.96</v>
      </c>
      <c r="I6" s="43" t="n">
        <v>1994212.92</v>
      </c>
      <c r="J6" s="43" t="n">
        <v>2633996.27</v>
      </c>
      <c r="K6" s="43" t="n">
        <v>2294042.26</v>
      </c>
      <c r="L6" s="43" t="n">
        <v>2535548.64</v>
      </c>
      <c r="M6" s="43" t="n">
        <v>2745388.52</v>
      </c>
      <c r="N6" s="43" t="n">
        <v>2009612.69</v>
      </c>
      <c r="O6" s="43" t="n">
        <v>21531893.04</v>
      </c>
      <c r="P6" s="43" t="n"/>
      <c r="Q6" s="43" t="n">
        <v>2066387.99</v>
      </c>
      <c r="R6" s="43" t="n">
        <v>1989935.09</v>
      </c>
      <c r="S6" s="43" t="n">
        <v>2069637.87</v>
      </c>
      <c r="T6" s="43" t="n">
        <v>2074929.41</v>
      </c>
      <c r="U6" s="43" t="n">
        <v>2049005.2</v>
      </c>
      <c r="V6" s="43" t="n">
        <v>1934695.95</v>
      </c>
      <c r="W6" s="43" t="n">
        <v>1791067.26</v>
      </c>
      <c r="X6" s="43" t="n">
        <v>1683102</v>
      </c>
      <c r="Y6" s="43" t="n">
        <v>1583942.52</v>
      </c>
      <c r="Z6" s="43" t="n">
        <v>1471050.66</v>
      </c>
      <c r="AA6" s="43" t="n">
        <v>1749289.68</v>
      </c>
      <c r="AB6" s="43" t="n">
        <v>1403938.61</v>
      </c>
      <c r="AC6" s="43" t="n">
        <v>21866982.24</v>
      </c>
      <c r="AD6" s="43" t="n"/>
      <c r="AE6" s="43" t="n">
        <v>1642711.65</v>
      </c>
      <c r="AF6" s="43" t="n">
        <v>1399833.11</v>
      </c>
      <c r="AG6" s="43" t="n">
        <v>1251234.06</v>
      </c>
      <c r="AH6" s="43" t="n">
        <v>1358312.48</v>
      </c>
      <c r="AI6" s="43" t="n">
        <v>1336936.43</v>
      </c>
      <c r="AJ6" s="43" t="n">
        <v>1155803.87</v>
      </c>
      <c r="AK6" s="43" t="n">
        <v>1270418.61</v>
      </c>
      <c r="AL6" s="43" t="n">
        <v>1284851.21</v>
      </c>
      <c r="AM6" s="43" t="n">
        <v>1261656.78</v>
      </c>
      <c r="AN6" s="43" t="n">
        <v>1221589.4</v>
      </c>
      <c r="AO6" s="43" t="n">
        <v>1120727.41</v>
      </c>
      <c r="AP6" s="43" t="n">
        <v>1131072.03</v>
      </c>
      <c r="AQ6" s="43" t="n">
        <v>15435147.05</v>
      </c>
      <c r="AR6" s="43" t="n"/>
      <c r="AS6" s="43" t="n">
        <v>925029.46</v>
      </c>
      <c r="AT6" s="43" t="n">
        <v>1224368.51</v>
      </c>
      <c r="AU6" s="43" t="n">
        <v>939304.89</v>
      </c>
      <c r="AV6" s="43" t="n">
        <v>1108750.05</v>
      </c>
      <c r="AW6" s="43" t="n">
        <v>846473.77</v>
      </c>
      <c r="AX6" s="43" t="n">
        <v>890196.95</v>
      </c>
      <c r="AY6" s="43" t="n">
        <v>824927.02</v>
      </c>
      <c r="AZ6" s="43" t="n">
        <v>650833.76</v>
      </c>
      <c r="BA6" s="43" t="n">
        <v>907873.85</v>
      </c>
      <c r="BB6" s="43" t="n">
        <v>656236.98</v>
      </c>
      <c r="BC6" s="43" t="n">
        <v>740003.63</v>
      </c>
      <c r="BD6" s="43" t="n">
        <v>780659.98</v>
      </c>
      <c r="BE6" s="43" t="n">
        <v>10494658.84</v>
      </c>
      <c r="BF6" s="43" t="n"/>
      <c r="BG6" s="43" t="n">
        <v>758496.6</v>
      </c>
      <c r="BH6" s="43" t="n">
        <v>800334.8199999999</v>
      </c>
      <c r="BI6" s="43" t="n">
        <v>736729.2</v>
      </c>
      <c r="BJ6" s="43" t="n">
        <v>646104.71</v>
      </c>
      <c r="BK6" s="43" t="n">
        <v>667935.08</v>
      </c>
      <c r="BL6" s="43" t="n">
        <v>576303.16</v>
      </c>
      <c r="BM6" s="43" t="n">
        <v>602869.9399999999</v>
      </c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</row>
    <row r="8">
      <c r="A8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</row>
    <row r="9">
      <c r="A9" t="inlineStr">
        <is>
          <t>Oil sales</t>
        </is>
      </c>
      <c r="B9" t="inlineStr">
        <is>
          <t>$</t>
        </is>
      </c>
      <c r="C9" s="38" t="n">
        <v>10318924.37</v>
      </c>
      <c r="D9" s="38" t="n">
        <v>20547236.31</v>
      </c>
      <c r="E9" s="38" t="n">
        <v>35219161.47</v>
      </c>
      <c r="F9" s="38" t="n">
        <v>34820781.57</v>
      </c>
      <c r="G9" s="38" t="n">
        <v>33371532.46</v>
      </c>
      <c r="H9" s="38" t="n">
        <v>54894804.68</v>
      </c>
      <c r="I9" s="38" t="n">
        <v>60717809.22</v>
      </c>
      <c r="J9" s="38" t="n">
        <v>65647276.74</v>
      </c>
      <c r="K9" s="38" t="n">
        <v>66297264.77</v>
      </c>
      <c r="L9" s="38" t="n">
        <v>84769307.33</v>
      </c>
      <c r="M9" s="38" t="n">
        <v>64501925.82</v>
      </c>
      <c r="N9" s="38" t="n">
        <v>61194806.15</v>
      </c>
      <c r="O9" s="38" t="n">
        <v>592300830.89</v>
      </c>
      <c r="P9" s="38" t="n"/>
      <c r="Q9" s="38" t="n">
        <v>64901969.75</v>
      </c>
      <c r="R9" s="38" t="n">
        <v>57714080.78</v>
      </c>
      <c r="S9" s="38" t="n">
        <v>55793945.52</v>
      </c>
      <c r="T9" s="38" t="n">
        <v>65434039.76</v>
      </c>
      <c r="U9" s="38" t="n">
        <v>62632582.89</v>
      </c>
      <c r="V9" s="38" t="n">
        <v>43709436.07</v>
      </c>
      <c r="W9" s="38" t="n">
        <v>49107908.54</v>
      </c>
      <c r="X9" s="38" t="n">
        <v>54881029.57</v>
      </c>
      <c r="Y9" s="38" t="n">
        <v>51130076.38</v>
      </c>
      <c r="Z9" s="38" t="n">
        <v>42399071.07</v>
      </c>
      <c r="AA9" s="38" t="n">
        <v>50313000.46</v>
      </c>
      <c r="AB9" s="38" t="n">
        <v>35968236.82</v>
      </c>
      <c r="AC9" s="38" t="n">
        <v>633985377.6</v>
      </c>
      <c r="AD9" s="38" t="n"/>
      <c r="AE9" s="38" t="n">
        <v>44231141.8</v>
      </c>
      <c r="AF9" s="38" t="n">
        <v>42805759</v>
      </c>
      <c r="AG9" s="38" t="n">
        <v>42329768.01</v>
      </c>
      <c r="AH9" s="38" t="n">
        <v>31314201.3</v>
      </c>
      <c r="AI9" s="38" t="n">
        <v>37918667.5</v>
      </c>
      <c r="AJ9" s="38" t="n">
        <v>39787713.4</v>
      </c>
      <c r="AK9" s="38" t="n">
        <v>38073696.92</v>
      </c>
      <c r="AL9" s="38" t="n">
        <v>39056001.26</v>
      </c>
      <c r="AM9" s="38" t="n">
        <v>31765725.49</v>
      </c>
      <c r="AN9" s="38" t="n">
        <v>30422760.92</v>
      </c>
      <c r="AO9" s="38" t="n">
        <v>37972510.71</v>
      </c>
      <c r="AP9" s="38" t="n">
        <v>27011600.41</v>
      </c>
      <c r="AQ9" s="38" t="n">
        <v>442689546.7</v>
      </c>
      <c r="AR9" s="38" t="n"/>
      <c r="AS9" s="38" t="n">
        <v>28787698.16</v>
      </c>
      <c r="AT9" s="38" t="n">
        <v>29744851.4</v>
      </c>
      <c r="AU9" s="38" t="n">
        <v>28964676.05</v>
      </c>
      <c r="AV9" s="38" t="n">
        <v>31676247.39</v>
      </c>
      <c r="AW9" s="38" t="n">
        <v>24454656.38</v>
      </c>
      <c r="AX9" s="38" t="n">
        <v>21622359.95</v>
      </c>
      <c r="AY9" s="38" t="n">
        <v>22477403.58</v>
      </c>
      <c r="AZ9" s="38" t="n">
        <v>18833231.29</v>
      </c>
      <c r="BA9" s="38" t="n">
        <v>26653927.03</v>
      </c>
      <c r="BB9" s="38" t="n">
        <v>17073399.93</v>
      </c>
      <c r="BC9" s="38" t="n">
        <v>20048562.32</v>
      </c>
      <c r="BD9" s="38" t="n">
        <v>19597588.91</v>
      </c>
      <c r="BE9" s="38" t="n">
        <v>289934602.4</v>
      </c>
      <c r="BF9" s="38" t="n"/>
      <c r="BG9" s="38" t="n">
        <v>20050857.2</v>
      </c>
      <c r="BH9" s="38" t="n">
        <v>22313565.09</v>
      </c>
      <c r="BI9" s="38" t="n">
        <v>18538312.37</v>
      </c>
      <c r="BJ9" s="38" t="n">
        <v>19903198.64</v>
      </c>
      <c r="BK9" s="38" t="n">
        <v>21132215.23</v>
      </c>
      <c r="BL9" s="38" t="n">
        <v>17728813.55</v>
      </c>
      <c r="BM9" s="38" t="n">
        <v>15422016.87</v>
      </c>
    </row>
    <row r="10">
      <c r="A10" t="inlineStr">
        <is>
          <t>Natural gas sales</t>
        </is>
      </c>
      <c r="B10" t="inlineStr">
        <is>
          <t>$</t>
        </is>
      </c>
      <c r="C10" s="38" t="n">
        <v>1097320.07</v>
      </c>
      <c r="D10" s="38" t="n">
        <v>-1304941.77</v>
      </c>
      <c r="E10" s="38" t="n">
        <v>4883444.07</v>
      </c>
      <c r="F10" s="38" t="n">
        <v>550682.83</v>
      </c>
      <c r="G10" s="38" t="n">
        <v>1701075.55</v>
      </c>
      <c r="H10" s="38" t="n">
        <v>-1272603.49</v>
      </c>
      <c r="I10" s="38" t="n">
        <v>17655.89</v>
      </c>
      <c r="J10" s="38" t="n">
        <v>12216955.78</v>
      </c>
      <c r="K10" s="38" t="n">
        <v>-4151376.87</v>
      </c>
      <c r="L10" s="38" t="n">
        <v>605592.05</v>
      </c>
      <c r="M10" s="38" t="n">
        <v>362382.75</v>
      </c>
      <c r="N10" s="38" t="n">
        <v>8653130.23</v>
      </c>
      <c r="O10" s="38" t="n">
        <v>23359317.09</v>
      </c>
      <c r="P10" s="38" t="n"/>
      <c r="Q10" s="38" t="n">
        <v>3924384.62</v>
      </c>
      <c r="R10" s="38" t="n">
        <v>-2699954.5</v>
      </c>
      <c r="S10" s="38" t="n">
        <v>8570408.65</v>
      </c>
      <c r="T10" s="38" t="n">
        <v>5956799.28</v>
      </c>
      <c r="U10" s="38" t="n">
        <v>4855166.42</v>
      </c>
      <c r="V10" s="38" t="n">
        <v>1562487.57</v>
      </c>
      <c r="W10" s="38" t="n">
        <v>908807.0600000001</v>
      </c>
      <c r="X10" s="38" t="n">
        <v>8831441.02</v>
      </c>
      <c r="Y10" s="38" t="n">
        <v>-285919.82</v>
      </c>
      <c r="Z10" s="38" t="n">
        <v>3871445.62</v>
      </c>
      <c r="AA10" s="38" t="n">
        <v>2910944.01</v>
      </c>
      <c r="AB10" s="38" t="n">
        <v>3703206.31</v>
      </c>
      <c r="AC10" s="38" t="n">
        <v>42109216.22</v>
      </c>
      <c r="AD10" s="38" t="n"/>
      <c r="AE10" s="38" t="n">
        <v>5351133.71</v>
      </c>
      <c r="AF10" s="38" t="n">
        <v>137148.15</v>
      </c>
      <c r="AG10" s="38" t="n">
        <v>-1065257.31</v>
      </c>
      <c r="AH10" s="38" t="n">
        <v>267588.29</v>
      </c>
      <c r="AI10" s="38" t="n">
        <v>4047185.43</v>
      </c>
      <c r="AJ10" s="38" t="n">
        <v>-34528.44</v>
      </c>
      <c r="AK10" s="38" t="n">
        <v>5034479.31</v>
      </c>
      <c r="AL10" s="38" t="n">
        <v>-285112.2</v>
      </c>
      <c r="AM10" s="38" t="n">
        <v>1690261.09</v>
      </c>
      <c r="AN10" s="38" t="n">
        <v>-278562.3</v>
      </c>
      <c r="AO10" s="38" t="n">
        <v>1095717.57</v>
      </c>
      <c r="AP10" s="38" t="n">
        <v>-835210.17</v>
      </c>
      <c r="AQ10" s="38" t="n">
        <v>15124843.14</v>
      </c>
      <c r="AR10" s="38" t="n"/>
      <c r="AS10" s="38" t="n">
        <v>-1505746.03</v>
      </c>
      <c r="AT10" s="38" t="n">
        <v>-1212818.39</v>
      </c>
      <c r="AU10" s="38" t="n">
        <v>1226351.63</v>
      </c>
      <c r="AV10" s="38" t="n">
        <v>5920676.55</v>
      </c>
      <c r="AW10" s="38" t="n">
        <v>-1331650.74</v>
      </c>
      <c r="AX10" s="38" t="n">
        <v>-1467194.13</v>
      </c>
      <c r="AY10" s="38" t="n">
        <v>515372.86</v>
      </c>
      <c r="AZ10" s="38" t="n">
        <v>2822741.1</v>
      </c>
      <c r="BA10" s="38" t="n">
        <v>-1043464.26</v>
      </c>
      <c r="BB10" s="38" t="n">
        <v>736828.78</v>
      </c>
      <c r="BC10" s="38" t="n">
        <v>-735956.53</v>
      </c>
      <c r="BD10" s="38" t="n">
        <v>586580.67</v>
      </c>
      <c r="BE10" s="38" t="n">
        <v>4511721.51</v>
      </c>
      <c r="BF10" s="38" t="n"/>
      <c r="BG10" s="38" t="n">
        <v>901065.05</v>
      </c>
      <c r="BH10" s="38" t="n">
        <v>69002.64999999999</v>
      </c>
      <c r="BI10" s="38" t="n">
        <v>2145442.32</v>
      </c>
      <c r="BJ10" s="38" t="n">
        <v>2334048.83</v>
      </c>
      <c r="BK10" s="38" t="n">
        <v>1213308.16</v>
      </c>
      <c r="BL10" s="38" t="n">
        <v>2812016.01</v>
      </c>
      <c r="BM10" s="38" t="n">
        <v>2098874.78</v>
      </c>
    </row>
    <row r="11">
      <c r="A11" t="inlineStr">
        <is>
          <t>Natural gas liquid sales</t>
        </is>
      </c>
      <c r="B11" t="inlineStr">
        <is>
          <t>$</t>
        </is>
      </c>
      <c r="C11" s="38" t="n">
        <v>777012.4399999999</v>
      </c>
      <c r="D11" s="38" t="n">
        <v>1736333.58</v>
      </c>
      <c r="E11" s="38" t="n">
        <v>2746330.54</v>
      </c>
      <c r="F11" s="38" t="n">
        <v>3700373.58</v>
      </c>
      <c r="G11" s="38" t="n">
        <v>5290110.85</v>
      </c>
      <c r="H11" s="38" t="n">
        <v>10345780.28</v>
      </c>
      <c r="I11" s="38" t="n">
        <v>4444317.41</v>
      </c>
      <c r="J11" s="38" t="n">
        <v>13142622.89</v>
      </c>
      <c r="K11" s="38" t="n">
        <v>7171498.97</v>
      </c>
      <c r="L11" s="38" t="n">
        <v>6093588.85</v>
      </c>
      <c r="M11" s="38" t="n">
        <v>14754799.63</v>
      </c>
      <c r="N11" s="38" t="n">
        <v>7449750.27</v>
      </c>
      <c r="O11" s="38" t="n">
        <v>77652519.3</v>
      </c>
      <c r="P11" s="38" t="n"/>
      <c r="Q11" s="38" t="n">
        <v>10622156.81</v>
      </c>
      <c r="R11" s="38" t="n">
        <v>9529682.140000001</v>
      </c>
      <c r="S11" s="38" t="n">
        <v>11525510.18</v>
      </c>
      <c r="T11" s="38" t="n">
        <v>10145471.14</v>
      </c>
      <c r="U11" s="38" t="n">
        <v>9336146.92</v>
      </c>
      <c r="V11" s="38" t="n">
        <v>8181984.79</v>
      </c>
      <c r="W11" s="38" t="n">
        <v>9196724.189999999</v>
      </c>
      <c r="X11" s="38" t="n">
        <v>4755303.93</v>
      </c>
      <c r="Y11" s="38" t="n">
        <v>4221282.15</v>
      </c>
      <c r="Z11" s="38" t="n">
        <v>7339954.08</v>
      </c>
      <c r="AA11" s="38" t="n">
        <v>9766946.98</v>
      </c>
      <c r="AB11" s="38" t="n">
        <v>5764480.87</v>
      </c>
      <c r="AC11" s="38" t="n">
        <v>100385644.18</v>
      </c>
      <c r="AD11" s="38" t="n"/>
      <c r="AE11" s="38" t="n">
        <v>7052811.52</v>
      </c>
      <c r="AF11" s="38" t="n">
        <v>4599496.41</v>
      </c>
      <c r="AG11" s="38" t="n">
        <v>2978662.33</v>
      </c>
      <c r="AH11" s="38" t="n">
        <v>3126959.41</v>
      </c>
      <c r="AI11" s="38" t="n">
        <v>4135941.82</v>
      </c>
      <c r="AJ11" s="38" t="n">
        <v>3576749.77</v>
      </c>
      <c r="AK11" s="38" t="n">
        <v>3911544.65</v>
      </c>
      <c r="AL11" s="38" t="n">
        <v>5996193.91</v>
      </c>
      <c r="AM11" s="38" t="n">
        <v>4214762.8</v>
      </c>
      <c r="AN11" s="38" t="n">
        <v>4938797.42</v>
      </c>
      <c r="AO11" s="38" t="n">
        <v>3360200.26</v>
      </c>
      <c r="AP11" s="38" t="n">
        <v>4044738.42</v>
      </c>
      <c r="AQ11" s="38" t="n">
        <v>51936858.71</v>
      </c>
      <c r="AR11" s="38" t="n"/>
      <c r="AS11" s="38" t="n">
        <v>3815408.54</v>
      </c>
      <c r="AT11" s="38" t="n">
        <v>5931555.71</v>
      </c>
      <c r="AU11" s="38" t="n">
        <v>5245415.94</v>
      </c>
      <c r="AV11" s="38" t="n">
        <v>6537345.89</v>
      </c>
      <c r="AW11" s="38" t="n">
        <v>3205767.64</v>
      </c>
      <c r="AX11" s="38" t="n">
        <v>4062340.89</v>
      </c>
      <c r="AY11" s="38" t="n">
        <v>1724975.47</v>
      </c>
      <c r="AZ11" s="38" t="n">
        <v>1998698.82</v>
      </c>
      <c r="BA11" s="38" t="n">
        <v>4350747.49</v>
      </c>
      <c r="BB11" s="38" t="n">
        <v>1847248.58</v>
      </c>
      <c r="BC11" s="38" t="n">
        <v>3903759.74</v>
      </c>
      <c r="BD11" s="38" t="n">
        <v>2379974.24</v>
      </c>
      <c r="BE11" s="38" t="n">
        <v>45003238.96</v>
      </c>
      <c r="BF11" s="38" t="n"/>
      <c r="BG11" s="38" t="n">
        <v>4345242.68</v>
      </c>
      <c r="BH11" s="38" t="n">
        <v>3921753.33</v>
      </c>
      <c r="BI11" s="38" t="n">
        <v>2925075.79</v>
      </c>
      <c r="BJ11" s="38" t="n">
        <v>2364902.83</v>
      </c>
      <c r="BK11" s="38" t="n">
        <v>1980130.76</v>
      </c>
      <c r="BL11" s="38" t="n">
        <v>1400899.43</v>
      </c>
      <c r="BM11" s="38" t="n">
        <v>2870092.96</v>
      </c>
    </row>
    <row r="12">
      <c r="A12" t="inlineStr">
        <is>
          <t>Total Revenue</t>
        </is>
      </c>
      <c r="C12" s="38" t="n">
        <v>12193256.88</v>
      </c>
      <c r="D12" s="38" t="n">
        <v>20978628.12</v>
      </c>
      <c r="E12" s="38" t="n">
        <v>42848936.08</v>
      </c>
      <c r="F12" s="38" t="n">
        <v>39071837.98</v>
      </c>
      <c r="G12" s="38" t="n">
        <v>40362718.86</v>
      </c>
      <c r="H12" s="38" t="n">
        <v>63967981.47</v>
      </c>
      <c r="I12" s="38" t="n">
        <v>65179782.51</v>
      </c>
      <c r="J12" s="38" t="n">
        <v>91006855.41</v>
      </c>
      <c r="K12" s="38" t="n">
        <v>69317386.87</v>
      </c>
      <c r="L12" s="38" t="n">
        <v>91468488.23999999</v>
      </c>
      <c r="M12" s="38" t="n">
        <v>79619108.20999999</v>
      </c>
      <c r="N12" s="38" t="n">
        <v>77297686.65000001</v>
      </c>
      <c r="O12" s="38" t="n">
        <v>693312667.28</v>
      </c>
      <c r="P12" s="38" t="n"/>
      <c r="Q12" s="38" t="n">
        <v>79448511.17</v>
      </c>
      <c r="R12" s="38" t="n">
        <v>64543808.43</v>
      </c>
      <c r="S12" s="38" t="n">
        <v>75889864.34999999</v>
      </c>
      <c r="T12" s="38" t="n">
        <v>81536310.18000001</v>
      </c>
      <c r="U12" s="38" t="n">
        <v>76823896.22</v>
      </c>
      <c r="V12" s="38" t="n">
        <v>53453908.43</v>
      </c>
      <c r="W12" s="38" t="n">
        <v>59213439.78</v>
      </c>
      <c r="X12" s="38" t="n">
        <v>68467774.53</v>
      </c>
      <c r="Y12" s="38" t="n">
        <v>55065438.71</v>
      </c>
      <c r="Z12" s="38" t="n">
        <v>53610470.77</v>
      </c>
      <c r="AA12" s="38" t="n">
        <v>62990891.44</v>
      </c>
      <c r="AB12" s="38" t="n">
        <v>45435924</v>
      </c>
      <c r="AC12" s="38" t="n">
        <v>776480238</v>
      </c>
      <c r="AD12" s="38" t="n"/>
      <c r="AE12" s="38" t="n">
        <v>56635087.03</v>
      </c>
      <c r="AF12" s="38" t="n">
        <v>47542403.55</v>
      </c>
      <c r="AG12" s="38" t="n">
        <v>44243173.03</v>
      </c>
      <c r="AH12" s="38" t="n">
        <v>34708749</v>
      </c>
      <c r="AI12" s="38" t="n">
        <v>46101794.75</v>
      </c>
      <c r="AJ12" s="38" t="n">
        <v>43329934.73</v>
      </c>
      <c r="AK12" s="38" t="n">
        <v>47019720.88</v>
      </c>
      <c r="AL12" s="38" t="n">
        <v>44767082.97</v>
      </c>
      <c r="AM12" s="38" t="n">
        <v>37670749.37</v>
      </c>
      <c r="AN12" s="38" t="n">
        <v>35082996.04</v>
      </c>
      <c r="AO12" s="38" t="n">
        <v>42428428.54</v>
      </c>
      <c r="AP12" s="38" t="n">
        <v>30221128.67</v>
      </c>
      <c r="AQ12" s="38" t="n">
        <v>509751248.55</v>
      </c>
      <c r="AR12" s="38" t="n"/>
      <c r="AS12" s="38" t="n">
        <v>31097360.67</v>
      </c>
      <c r="AT12" s="38" t="n">
        <v>34463588.72</v>
      </c>
      <c r="AU12" s="38" t="n">
        <v>35436443.62</v>
      </c>
      <c r="AV12" s="38" t="n">
        <v>44134269.83</v>
      </c>
      <c r="AW12" s="38" t="n">
        <v>26328773.27</v>
      </c>
      <c r="AX12" s="38" t="n">
        <v>24217506.72</v>
      </c>
      <c r="AY12" s="38" t="n">
        <v>24717751.91</v>
      </c>
      <c r="AZ12" s="38" t="n">
        <v>23654671.21</v>
      </c>
      <c r="BA12" s="38" t="n">
        <v>29961210.26</v>
      </c>
      <c r="BB12" s="38" t="n">
        <v>19657477.29</v>
      </c>
      <c r="BC12" s="38" t="n">
        <v>23216365.54</v>
      </c>
      <c r="BD12" s="38" t="n">
        <v>22564143.82</v>
      </c>
      <c r="BE12" s="38" t="n">
        <v>339449562.87</v>
      </c>
      <c r="BF12" s="38" t="n"/>
      <c r="BG12" s="38" t="n">
        <v>25297164.92</v>
      </c>
      <c r="BH12" s="38" t="n">
        <v>26304321.07</v>
      </c>
      <c r="BI12" s="38" t="n">
        <v>23608830.48</v>
      </c>
      <c r="BJ12" s="38" t="n">
        <v>24602150.3</v>
      </c>
      <c r="BK12" s="38" t="n">
        <v>24325654.15</v>
      </c>
      <c r="BL12" s="38" t="n">
        <v>21941728.99</v>
      </c>
      <c r="BM12" s="38" t="n">
        <v>20390984.6</v>
      </c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</row>
    <row r="14">
      <c r="A14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</row>
    <row r="15">
      <c r="A15" t="inlineStr">
        <is>
          <t xml:space="preserve">Oil </t>
        </is>
      </c>
      <c r="B15" t="inlineStr">
        <is>
          <t>$/Bbl</t>
        </is>
      </c>
      <c r="C15" s="51" t="n">
        <v>66.36</v>
      </c>
      <c r="D15" s="51" t="n">
        <v>67.88</v>
      </c>
      <c r="E15" s="51" t="n">
        <v>71.19</v>
      </c>
      <c r="F15" s="51" t="n">
        <v>67.56</v>
      </c>
      <c r="G15" s="51" t="n">
        <v>67.36</v>
      </c>
      <c r="H15" s="51" t="n">
        <v>66.04000000000001</v>
      </c>
      <c r="I15" s="51" t="n">
        <v>76.95999999999999</v>
      </c>
      <c r="J15" s="51" t="n">
        <v>65.84999999999999</v>
      </c>
      <c r="K15" s="51" t="n">
        <v>75.13</v>
      </c>
      <c r="L15" s="51" t="n">
        <v>81.45999999999999</v>
      </c>
      <c r="M15" s="51" t="n">
        <v>63.82</v>
      </c>
      <c r="N15" s="51" t="n">
        <v>81.22</v>
      </c>
      <c r="O15" s="51" t="n">
        <v>70.9015</v>
      </c>
      <c r="P15" s="51" t="n"/>
      <c r="Q15" s="51" t="n">
        <v>77.48</v>
      </c>
      <c r="R15" s="51" t="n">
        <v>70.09</v>
      </c>
      <c r="S15" s="51" t="n">
        <v>69.41</v>
      </c>
      <c r="T15" s="51" t="n">
        <v>74.51000000000001</v>
      </c>
      <c r="U15" s="51" t="n">
        <v>74.23999999999999</v>
      </c>
      <c r="V15" s="51" t="n">
        <v>59.8</v>
      </c>
      <c r="W15" s="51" t="n">
        <v>68.20999999999999</v>
      </c>
      <c r="X15" s="51" t="n">
        <v>78.93000000000001</v>
      </c>
      <c r="Y15" s="51" t="n">
        <v>74.17</v>
      </c>
      <c r="Z15" s="51" t="n">
        <v>67.14</v>
      </c>
      <c r="AA15" s="51" t="n">
        <v>75.95999999999999</v>
      </c>
      <c r="AB15" s="51" t="n">
        <v>59.56</v>
      </c>
      <c r="AC15" s="51" t="n">
        <v>70.79130000000001</v>
      </c>
      <c r="AD15" s="51" t="n"/>
      <c r="AE15" s="51" t="n">
        <v>66.06999999999999</v>
      </c>
      <c r="AF15" s="51" t="n">
        <v>69.77</v>
      </c>
      <c r="AG15" s="51" t="n">
        <v>80.06</v>
      </c>
      <c r="AH15" s="51" t="n">
        <v>58.24</v>
      </c>
      <c r="AI15" s="51" t="n">
        <v>71.18000000000001</v>
      </c>
      <c r="AJ15" s="51" t="n">
        <v>80.31999999999999</v>
      </c>
      <c r="AK15" s="51" t="n">
        <v>71.45</v>
      </c>
      <c r="AL15" s="51" t="n">
        <v>75.28</v>
      </c>
      <c r="AM15" s="51" t="n">
        <v>64.16</v>
      </c>
      <c r="AN15" s="51" t="n">
        <v>62.44</v>
      </c>
      <c r="AO15" s="51" t="n">
        <v>76.75</v>
      </c>
      <c r="AP15" s="51" t="n">
        <v>64.45999999999999</v>
      </c>
      <c r="AQ15" s="51" t="n">
        <v>70.0146</v>
      </c>
      <c r="AR15" s="51" t="n"/>
      <c r="AS15" s="51" t="n">
        <v>71.28</v>
      </c>
      <c r="AT15" s="51" t="n">
        <v>64.92</v>
      </c>
      <c r="AU15" s="51" t="n">
        <v>80.41</v>
      </c>
      <c r="AV15" s="51" t="n">
        <v>75.95</v>
      </c>
      <c r="AW15" s="51" t="n">
        <v>71.29000000000001</v>
      </c>
      <c r="AX15" s="51" t="n">
        <v>61.3</v>
      </c>
      <c r="AY15" s="51" t="n">
        <v>65.68000000000001</v>
      </c>
      <c r="AZ15" s="51" t="n">
        <v>70.59</v>
      </c>
      <c r="BA15" s="51" t="n">
        <v>74.56999999999999</v>
      </c>
      <c r="BB15" s="51" t="n">
        <v>60.13</v>
      </c>
      <c r="BC15" s="51" t="n">
        <v>65.8</v>
      </c>
      <c r="BD15" s="51" t="n">
        <v>63.32</v>
      </c>
      <c r="BE15" s="51" t="n">
        <v>68.7705</v>
      </c>
      <c r="BF15" s="51" t="n"/>
      <c r="BG15" s="51" t="n">
        <v>70.16</v>
      </c>
      <c r="BH15" s="51" t="n">
        <v>76.53</v>
      </c>
      <c r="BI15" s="51" t="n">
        <v>64.5</v>
      </c>
      <c r="BJ15" s="51" t="n">
        <v>71.27</v>
      </c>
      <c r="BK15" s="51" t="n">
        <v>80.59</v>
      </c>
      <c r="BL15" s="51" t="n">
        <v>72.02</v>
      </c>
      <c r="BM15" s="51" t="n">
        <v>61.78</v>
      </c>
    </row>
    <row r="16">
      <c r="A16" t="inlineStr">
        <is>
          <t>Natural gas</t>
        </is>
      </c>
      <c r="B16" t="inlineStr">
        <is>
          <t>$/Mcf</t>
        </is>
      </c>
      <c r="C16" s="51" t="n">
        <v>1.35</v>
      </c>
      <c r="D16" s="51" t="n">
        <v>-0.75</v>
      </c>
      <c r="E16" s="51" t="n">
        <v>1.77</v>
      </c>
      <c r="F16" s="51" t="n">
        <v>0.18</v>
      </c>
      <c r="G16" s="51" t="n">
        <v>0.59</v>
      </c>
      <c r="H16" s="51" t="n">
        <v>-0.28</v>
      </c>
      <c r="I16" s="51" t="n">
        <v>0</v>
      </c>
      <c r="J16" s="51" t="n">
        <v>2.26</v>
      </c>
      <c r="K16" s="51" t="n">
        <v>-0.84</v>
      </c>
      <c r="L16" s="51" t="n">
        <v>0.11</v>
      </c>
      <c r="M16" s="51" t="n">
        <v>0.06</v>
      </c>
      <c r="N16" s="51" t="n">
        <v>2</v>
      </c>
      <c r="O16" s="51" t="n">
        <v>0.5383</v>
      </c>
      <c r="P16" s="51" t="n"/>
      <c r="Q16" s="51" t="n">
        <v>0.91</v>
      </c>
      <c r="R16" s="51" t="n">
        <v>-0.66</v>
      </c>
      <c r="S16" s="51" t="n">
        <v>2.02</v>
      </c>
      <c r="T16" s="51" t="n">
        <v>1.44</v>
      </c>
      <c r="U16" s="51" t="n">
        <v>1.19</v>
      </c>
      <c r="V16" s="51" t="n">
        <v>0.36</v>
      </c>
      <c r="W16" s="51" t="n">
        <v>0.24</v>
      </c>
      <c r="X16" s="51" t="n">
        <v>2.44</v>
      </c>
      <c r="Y16" s="51" t="n">
        <v>-0.09</v>
      </c>
      <c r="Z16" s="51" t="n">
        <v>1.32</v>
      </c>
      <c r="AA16" s="51" t="n">
        <v>0.79</v>
      </c>
      <c r="AB16" s="51" t="n">
        <v>1.29</v>
      </c>
      <c r="AC16" s="51" t="n">
        <v>0.9382</v>
      </c>
      <c r="AD16" s="51" t="n"/>
      <c r="AE16" s="51" t="n">
        <v>1.61</v>
      </c>
      <c r="AF16" s="51" t="n">
        <v>0.05</v>
      </c>
      <c r="AG16" s="51" t="n">
        <v>-0.44</v>
      </c>
      <c r="AH16" s="51" t="n">
        <v>0.09</v>
      </c>
      <c r="AI16" s="51" t="n">
        <v>1.54</v>
      </c>
      <c r="AJ16" s="51" t="n">
        <v>-0.02</v>
      </c>
      <c r="AK16" s="51" t="n">
        <v>1.98</v>
      </c>
      <c r="AL16" s="51" t="n">
        <v>-0.11</v>
      </c>
      <c r="AM16" s="51" t="n">
        <v>0.6</v>
      </c>
      <c r="AN16" s="51" t="n">
        <v>-0.11</v>
      </c>
      <c r="AO16" s="51" t="n">
        <v>0.47</v>
      </c>
      <c r="AP16" s="51" t="n">
        <v>-0.35</v>
      </c>
      <c r="AQ16" s="51" t="n">
        <v>0.4412</v>
      </c>
      <c r="AR16" s="51" t="n"/>
      <c r="AS16" s="51" t="n">
        <v>-0.8100000000000001</v>
      </c>
      <c r="AT16" s="51" t="n">
        <v>-0.48</v>
      </c>
      <c r="AU16" s="51" t="n">
        <v>0.59</v>
      </c>
      <c r="AV16" s="51" t="n">
        <v>2.57</v>
      </c>
      <c r="AW16" s="51" t="n">
        <v>-0.71</v>
      </c>
      <c r="AX16" s="51" t="n">
        <v>-0.78</v>
      </c>
      <c r="AY16" s="51" t="n">
        <v>0.31</v>
      </c>
      <c r="AZ16" s="51" t="n">
        <v>2.15</v>
      </c>
      <c r="BA16" s="51" t="n">
        <v>-0.54</v>
      </c>
      <c r="BB16" s="51" t="n">
        <v>0.53</v>
      </c>
      <c r="BC16" s="51" t="n">
        <v>-0.48</v>
      </c>
      <c r="BD16" s="51" t="n">
        <v>0.38</v>
      </c>
      <c r="BE16" s="51" t="n">
        <v>0.2272</v>
      </c>
      <c r="BF16" s="51" t="n"/>
      <c r="BG16" s="51" t="n">
        <v>0.53</v>
      </c>
      <c r="BH16" s="51" t="n">
        <v>0.04</v>
      </c>
      <c r="BI16" s="51" t="n">
        <v>1.4</v>
      </c>
      <c r="BJ16" s="51" t="n">
        <v>1.79</v>
      </c>
      <c r="BK16" s="51" t="n">
        <v>0.82</v>
      </c>
      <c r="BL16" s="51" t="n">
        <v>2.36</v>
      </c>
      <c r="BM16" s="51" t="n">
        <v>1.7</v>
      </c>
    </row>
    <row r="17">
      <c r="A17" t="inlineStr">
        <is>
          <t>Natural gas liquids</t>
        </is>
      </c>
      <c r="B17" t="inlineStr">
        <is>
          <t>$/Bbl</t>
        </is>
      </c>
      <c r="C17" s="51" t="n">
        <v>8.74</v>
      </c>
      <c r="D17" s="51" t="n">
        <v>8.779999999999999</v>
      </c>
      <c r="E17" s="51" t="n">
        <v>8.210000000000001</v>
      </c>
      <c r="F17" s="51" t="n">
        <v>10.88</v>
      </c>
      <c r="G17" s="51" t="n">
        <v>13.17</v>
      </c>
      <c r="H17" s="51" t="n">
        <v>19.39</v>
      </c>
      <c r="I17" s="51" t="n">
        <v>8.81</v>
      </c>
      <c r="J17" s="51" t="n">
        <v>17.86</v>
      </c>
      <c r="K17" s="51" t="n">
        <v>12.29</v>
      </c>
      <c r="L17" s="51" t="n">
        <v>10.22</v>
      </c>
      <c r="M17" s="51" t="n">
        <v>18.69</v>
      </c>
      <c r="N17" s="51" t="n">
        <v>13.91</v>
      </c>
      <c r="O17" s="51" t="n">
        <v>12.5789</v>
      </c>
      <c r="P17" s="51" t="n"/>
      <c r="Q17" s="51" t="n">
        <v>20.69</v>
      </c>
      <c r="R17" s="51" t="n">
        <v>19.48</v>
      </c>
      <c r="S17" s="51" t="n">
        <v>20.66</v>
      </c>
      <c r="T17" s="51" t="n">
        <v>20.07</v>
      </c>
      <c r="U17" s="51" t="n">
        <v>17.72</v>
      </c>
      <c r="V17" s="51" t="n">
        <v>16.7</v>
      </c>
      <c r="W17" s="51" t="n">
        <v>21.41</v>
      </c>
      <c r="X17" s="51" t="n">
        <v>12.4</v>
      </c>
      <c r="Y17" s="51" t="n">
        <v>12.32</v>
      </c>
      <c r="Z17" s="51" t="n">
        <v>20.83</v>
      </c>
      <c r="AA17" s="51" t="n">
        <v>20.52</v>
      </c>
      <c r="AB17" s="51" t="n">
        <v>17.88</v>
      </c>
      <c r="AC17" s="51" t="n">
        <v>18.3889</v>
      </c>
      <c r="AD17" s="51" t="n"/>
      <c r="AE17" s="51" t="n">
        <v>16.87</v>
      </c>
      <c r="AF17" s="51" t="n">
        <v>15.28</v>
      </c>
      <c r="AG17" s="51" t="n">
        <v>9.210000000000001</v>
      </c>
      <c r="AH17" s="51" t="n">
        <v>9.92</v>
      </c>
      <c r="AI17" s="51" t="n">
        <v>11.3</v>
      </c>
      <c r="AJ17" s="51" t="n">
        <v>12.58</v>
      </c>
      <c r="AK17" s="51" t="n">
        <v>12.47</v>
      </c>
      <c r="AL17" s="51" t="n">
        <v>17.28</v>
      </c>
      <c r="AM17" s="51" t="n">
        <v>14.25</v>
      </c>
      <c r="AN17" s="51" t="n">
        <v>15.02</v>
      </c>
      <c r="AO17" s="51" t="n">
        <v>14.26</v>
      </c>
      <c r="AP17" s="51" t="n">
        <v>13.07</v>
      </c>
      <c r="AQ17" s="51" t="n">
        <v>13.4581</v>
      </c>
      <c r="AR17" s="51" t="n"/>
      <c r="AS17" s="51" t="n">
        <v>18.07</v>
      </c>
      <c r="AT17" s="51" t="n">
        <v>17.04</v>
      </c>
      <c r="AU17" s="51" t="n">
        <v>22.68</v>
      </c>
      <c r="AV17" s="51" t="n">
        <v>21.24</v>
      </c>
      <c r="AW17" s="51" t="n">
        <v>16.62</v>
      </c>
      <c r="AX17" s="51" t="n">
        <v>18.13</v>
      </c>
      <c r="AY17" s="51" t="n">
        <v>8.220000000000001</v>
      </c>
      <c r="AZ17" s="51" t="n">
        <v>12.1</v>
      </c>
      <c r="BA17" s="51" t="n">
        <v>19.1</v>
      </c>
      <c r="BB17" s="51" t="n">
        <v>13.18</v>
      </c>
      <c r="BC17" s="51" t="n">
        <v>21.93</v>
      </c>
      <c r="BD17" s="51" t="n">
        <v>11.21</v>
      </c>
      <c r="BE17" s="51" t="n">
        <v>16.6252</v>
      </c>
      <c r="BF17" s="51" t="n"/>
      <c r="BG17" s="51" t="n">
        <v>22.9</v>
      </c>
      <c r="BH17" s="51" t="n">
        <v>17.67</v>
      </c>
      <c r="BI17" s="51" t="n">
        <v>15.14</v>
      </c>
      <c r="BJ17" s="51" t="n">
        <v>15.77</v>
      </c>
      <c r="BK17" s="51" t="n">
        <v>12.42</v>
      </c>
      <c r="BL17" s="51" t="n">
        <v>10.63</v>
      </c>
      <c r="BM17" s="51" t="n">
        <v>19.41</v>
      </c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</row>
    <row r="19">
      <c r="A19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</row>
    <row r="20">
      <c r="A20" t="inlineStr">
        <is>
          <t>Production tax - Oil</t>
        </is>
      </c>
      <c r="C20" s="38" t="n">
        <v>474670.52</v>
      </c>
      <c r="D20" s="38" t="n">
        <v>945172.87</v>
      </c>
      <c r="E20" s="38" t="n">
        <v>1620081.43</v>
      </c>
      <c r="F20" s="38" t="n">
        <v>1601755.95</v>
      </c>
      <c r="G20" s="38" t="n">
        <v>1535090.49</v>
      </c>
      <c r="H20" s="38" t="n">
        <v>2525161.02</v>
      </c>
      <c r="I20" s="38" t="n">
        <v>2793019.22</v>
      </c>
      <c r="J20" s="38" t="n">
        <v>3019774.73</v>
      </c>
      <c r="K20" s="38" t="n">
        <v>3049674.18</v>
      </c>
      <c r="L20" s="38" t="n">
        <v>3899388.14</v>
      </c>
      <c r="M20" s="38" t="n">
        <v>2967088.59</v>
      </c>
      <c r="N20" s="38" t="n">
        <v>2814961.08</v>
      </c>
      <c r="O20" s="38" t="n">
        <v>27245838.22</v>
      </c>
      <c r="P20" s="38" t="n"/>
      <c r="Q20" s="38" t="n">
        <v>2985490.61</v>
      </c>
      <c r="R20" s="38" t="n">
        <v>2654847.72</v>
      </c>
      <c r="S20" s="38" t="n">
        <v>2566521.49</v>
      </c>
      <c r="T20" s="38" t="n">
        <v>3009965.83</v>
      </c>
      <c r="U20" s="38" t="n">
        <v>2881098.81</v>
      </c>
      <c r="V20" s="38" t="n">
        <v>2010634.06</v>
      </c>
      <c r="W20" s="38" t="n">
        <v>2258963.79</v>
      </c>
      <c r="X20" s="38" t="n">
        <v>2524527.36</v>
      </c>
      <c r="Y20" s="38" t="n">
        <v>2351983.51</v>
      </c>
      <c r="Z20" s="38" t="n">
        <v>1950357.27</v>
      </c>
      <c r="AA20" s="38" t="n">
        <v>2314398.02</v>
      </c>
      <c r="AB20" s="38" t="n">
        <v>1654538.89</v>
      </c>
      <c r="AC20" s="38" t="n">
        <v>29163327.37</v>
      </c>
      <c r="AD20" s="38" t="n"/>
      <c r="AE20" s="38" t="n">
        <v>2034632.52</v>
      </c>
      <c r="AF20" s="38" t="n">
        <v>1969064.91</v>
      </c>
      <c r="AG20" s="38" t="n">
        <v>1947169.33</v>
      </c>
      <c r="AH20" s="38" t="n">
        <v>1440453.26</v>
      </c>
      <c r="AI20" s="38" t="n">
        <v>1744258.7</v>
      </c>
      <c r="AJ20" s="38" t="n">
        <v>1830234.82</v>
      </c>
      <c r="AK20" s="38" t="n">
        <v>1751390.06</v>
      </c>
      <c r="AL20" s="38" t="n">
        <v>1796576.06</v>
      </c>
      <c r="AM20" s="38" t="n">
        <v>1461223.37</v>
      </c>
      <c r="AN20" s="38" t="n">
        <v>1399447</v>
      </c>
      <c r="AO20" s="38" t="n">
        <v>1746735.49</v>
      </c>
      <c r="AP20" s="38" t="n">
        <v>1242533.62</v>
      </c>
      <c r="AQ20" s="38" t="n">
        <v>20363719.15</v>
      </c>
      <c r="AR20" s="38" t="n"/>
      <c r="AS20" s="38" t="n">
        <v>1324234.12</v>
      </c>
      <c r="AT20" s="38" t="n">
        <v>1368263.16</v>
      </c>
      <c r="AU20" s="38" t="n">
        <v>1332375.1</v>
      </c>
      <c r="AV20" s="38" t="n">
        <v>1457107.38</v>
      </c>
      <c r="AW20" s="38" t="n">
        <v>1124914.19</v>
      </c>
      <c r="AX20" s="38" t="n">
        <v>994628.5600000001</v>
      </c>
      <c r="AY20" s="38" t="n">
        <v>1033960.56</v>
      </c>
      <c r="AZ20" s="38" t="n">
        <v>866328.64</v>
      </c>
      <c r="BA20" s="38" t="n">
        <v>1226080.64</v>
      </c>
      <c r="BB20" s="38" t="n">
        <v>785376.4</v>
      </c>
      <c r="BC20" s="38" t="n">
        <v>922233.87</v>
      </c>
      <c r="BD20" s="38" t="n">
        <v>901489.09</v>
      </c>
      <c r="BE20" s="38" t="n">
        <v>13336991.71</v>
      </c>
      <c r="BF20" s="38" t="n"/>
      <c r="BG20" s="38" t="n">
        <v>922339.4300000001</v>
      </c>
      <c r="BH20" s="38" t="n">
        <v>1026423.99</v>
      </c>
      <c r="BI20" s="38" t="n">
        <v>852762.37</v>
      </c>
      <c r="BJ20" s="38" t="n">
        <v>915547.14</v>
      </c>
      <c r="BK20" s="38" t="n">
        <v>972081.9</v>
      </c>
      <c r="BL20" s="38" t="n">
        <v>815525.42</v>
      </c>
      <c r="BM20" s="38" t="n">
        <v>709412.78</v>
      </c>
    </row>
    <row r="21">
      <c r="A21" t="inlineStr">
        <is>
          <t>Production tax - Gas</t>
        </is>
      </c>
      <c r="C21" s="38" t="n">
        <v>50476.72</v>
      </c>
      <c r="D21" s="38" t="n">
        <v>0</v>
      </c>
      <c r="E21" s="38" t="n">
        <v>224638.43</v>
      </c>
      <c r="F21" s="38" t="n">
        <v>25331.41</v>
      </c>
      <c r="G21" s="38" t="n">
        <v>78249.48</v>
      </c>
      <c r="H21" s="38" t="n">
        <v>0</v>
      </c>
      <c r="I21" s="38" t="n">
        <v>812.17</v>
      </c>
      <c r="J21" s="38" t="n">
        <v>561979.97</v>
      </c>
      <c r="K21" s="38" t="n">
        <v>0</v>
      </c>
      <c r="L21" s="38" t="n">
        <v>27857.23</v>
      </c>
      <c r="M21" s="38" t="n">
        <v>16669.61</v>
      </c>
      <c r="N21" s="38" t="n">
        <v>398043.99</v>
      </c>
      <c r="O21" s="38" t="n">
        <v>1384059</v>
      </c>
      <c r="P21" s="38" t="n"/>
      <c r="Q21" s="38" t="n">
        <v>180521.69</v>
      </c>
      <c r="R21" s="38" t="n">
        <v>0</v>
      </c>
      <c r="S21" s="38" t="n">
        <v>394238.8</v>
      </c>
      <c r="T21" s="38" t="n">
        <v>274012.77</v>
      </c>
      <c r="U21" s="38" t="n">
        <v>223337.66</v>
      </c>
      <c r="V21" s="38" t="n">
        <v>71874.42999999999</v>
      </c>
      <c r="W21" s="38" t="n">
        <v>41805.12</v>
      </c>
      <c r="X21" s="38" t="n">
        <v>406246.29</v>
      </c>
      <c r="Y21" s="38" t="n">
        <v>0</v>
      </c>
      <c r="Z21" s="38" t="n">
        <v>178086.5</v>
      </c>
      <c r="AA21" s="38" t="n">
        <v>133903.42</v>
      </c>
      <c r="AB21" s="38" t="n">
        <v>170347.49</v>
      </c>
      <c r="AC21" s="38" t="n">
        <v>2074374.17</v>
      </c>
      <c r="AD21" s="38" t="n"/>
      <c r="AE21" s="38" t="n">
        <v>246152.15</v>
      </c>
      <c r="AF21" s="38" t="n">
        <v>6308.81</v>
      </c>
      <c r="AG21" s="38" t="n">
        <v>0</v>
      </c>
      <c r="AH21" s="38" t="n">
        <v>12309.06</v>
      </c>
      <c r="AI21" s="38" t="n">
        <v>186170.53</v>
      </c>
      <c r="AJ21" s="38" t="n">
        <v>0</v>
      </c>
      <c r="AK21" s="38" t="n">
        <v>231586.05</v>
      </c>
      <c r="AL21" s="38" t="n">
        <v>0</v>
      </c>
      <c r="AM21" s="38" t="n">
        <v>77752.00999999999</v>
      </c>
      <c r="AN21" s="38" t="n">
        <v>0</v>
      </c>
      <c r="AO21" s="38" t="n">
        <v>50403.01</v>
      </c>
      <c r="AP21" s="38" t="n">
        <v>0</v>
      </c>
      <c r="AQ21" s="38" t="n">
        <v>810681.62</v>
      </c>
      <c r="AR21" s="38" t="n"/>
      <c r="AS21" s="38" t="n">
        <v>0</v>
      </c>
      <c r="AT21" s="38" t="n">
        <v>0</v>
      </c>
      <c r="AU21" s="38" t="n">
        <v>56412.17</v>
      </c>
      <c r="AV21" s="38" t="n">
        <v>272351.12</v>
      </c>
      <c r="AW21" s="38" t="n">
        <v>0</v>
      </c>
      <c r="AX21" s="38" t="n">
        <v>0</v>
      </c>
      <c r="AY21" s="38" t="n">
        <v>23707.15</v>
      </c>
      <c r="AZ21" s="38" t="n">
        <v>129846.09</v>
      </c>
      <c r="BA21" s="38" t="n">
        <v>0</v>
      </c>
      <c r="BB21" s="38" t="n">
        <v>33894.12</v>
      </c>
      <c r="BC21" s="38" t="n">
        <v>0</v>
      </c>
      <c r="BD21" s="38" t="n">
        <v>26982.71</v>
      </c>
      <c r="BE21" s="38" t="n">
        <v>543193.37</v>
      </c>
      <c r="BF21" s="38" t="n"/>
      <c r="BG21" s="38" t="n">
        <v>41448.99</v>
      </c>
      <c r="BH21" s="38" t="n">
        <v>3174.12</v>
      </c>
      <c r="BI21" s="38" t="n">
        <v>98690.35000000001</v>
      </c>
      <c r="BJ21" s="38" t="n">
        <v>107366.25</v>
      </c>
      <c r="BK21" s="38" t="n">
        <v>55812.18</v>
      </c>
      <c r="BL21" s="38" t="n">
        <v>129352.74</v>
      </c>
      <c r="BM21" s="38" t="n">
        <v>96548.24000000001</v>
      </c>
    </row>
    <row r="22">
      <c r="A22" t="inlineStr">
        <is>
          <t>Production tax - Liquids</t>
        </is>
      </c>
      <c r="C22" s="38" t="n">
        <v>35742.57</v>
      </c>
      <c r="D22" s="38" t="n">
        <v>79871.34</v>
      </c>
      <c r="E22" s="38" t="n">
        <v>126331.2</v>
      </c>
      <c r="F22" s="38" t="n">
        <v>170217.18</v>
      </c>
      <c r="G22" s="38" t="n">
        <v>243345.1</v>
      </c>
      <c r="H22" s="38" t="n">
        <v>475905.89</v>
      </c>
      <c r="I22" s="38" t="n">
        <v>204438.6</v>
      </c>
      <c r="J22" s="38" t="n">
        <v>604560.65</v>
      </c>
      <c r="K22" s="38" t="n">
        <v>329888.95</v>
      </c>
      <c r="L22" s="38" t="n">
        <v>280305.09</v>
      </c>
      <c r="M22" s="38" t="n">
        <v>678720.78</v>
      </c>
      <c r="N22" s="38" t="n">
        <v>342688.51</v>
      </c>
      <c r="O22" s="38" t="n">
        <v>3572015.89</v>
      </c>
      <c r="P22" s="38" t="n"/>
      <c r="Q22" s="38" t="n">
        <v>488619.21</v>
      </c>
      <c r="R22" s="38" t="n">
        <v>438365.38</v>
      </c>
      <c r="S22" s="38" t="n">
        <v>530173.47</v>
      </c>
      <c r="T22" s="38" t="n">
        <v>466691.67</v>
      </c>
      <c r="U22" s="38" t="n">
        <v>429462.76</v>
      </c>
      <c r="V22" s="38" t="n">
        <v>376371.3</v>
      </c>
      <c r="W22" s="38" t="n">
        <v>423049.31</v>
      </c>
      <c r="X22" s="38" t="n">
        <v>218743.98</v>
      </c>
      <c r="Y22" s="38" t="n">
        <v>194178.98</v>
      </c>
      <c r="Z22" s="38" t="n">
        <v>337637.89</v>
      </c>
      <c r="AA22" s="38" t="n">
        <v>449279.56</v>
      </c>
      <c r="AB22" s="38" t="n">
        <v>265166.12</v>
      </c>
      <c r="AC22" s="38" t="n">
        <v>4617739.63</v>
      </c>
      <c r="AD22" s="38" t="n"/>
      <c r="AE22" s="38" t="n">
        <v>324429.33</v>
      </c>
      <c r="AF22" s="38" t="n">
        <v>211576.83</v>
      </c>
      <c r="AG22" s="38" t="n">
        <v>137018.47</v>
      </c>
      <c r="AH22" s="38" t="n">
        <v>143840.13</v>
      </c>
      <c r="AI22" s="38" t="n">
        <v>190253.32</v>
      </c>
      <c r="AJ22" s="38" t="n">
        <v>164530.49</v>
      </c>
      <c r="AK22" s="38" t="n">
        <v>179931.05</v>
      </c>
      <c r="AL22" s="38" t="n">
        <v>275824.92</v>
      </c>
      <c r="AM22" s="38" t="n">
        <v>193879.09</v>
      </c>
      <c r="AN22" s="38" t="n">
        <v>227184.68</v>
      </c>
      <c r="AO22" s="38" t="n">
        <v>154569.21</v>
      </c>
      <c r="AP22" s="38" t="n">
        <v>186057.97</v>
      </c>
      <c r="AQ22" s="38" t="n">
        <v>2389095.5</v>
      </c>
      <c r="AR22" s="38" t="n"/>
      <c r="AS22" s="38" t="n">
        <v>175508.79</v>
      </c>
      <c r="AT22" s="38" t="n">
        <v>272851.56</v>
      </c>
      <c r="AU22" s="38" t="n">
        <v>241289.13</v>
      </c>
      <c r="AV22" s="38" t="n">
        <v>300717.91</v>
      </c>
      <c r="AW22" s="38" t="n">
        <v>147465.31</v>
      </c>
      <c r="AX22" s="38" t="n">
        <v>186867.68</v>
      </c>
      <c r="AY22" s="38" t="n">
        <v>79348.87</v>
      </c>
      <c r="AZ22" s="38" t="n">
        <v>91940.14999999999</v>
      </c>
      <c r="BA22" s="38" t="n">
        <v>200134.38</v>
      </c>
      <c r="BB22" s="38" t="n">
        <v>84973.42999999999</v>
      </c>
      <c r="BC22" s="38" t="n">
        <v>179572.95</v>
      </c>
      <c r="BD22" s="38" t="n">
        <v>109478.82</v>
      </c>
      <c r="BE22" s="38" t="n">
        <v>2070148.99</v>
      </c>
      <c r="BF22" s="38" t="n"/>
      <c r="BG22" s="38" t="n">
        <v>199881.16</v>
      </c>
      <c r="BH22" s="38" t="n">
        <v>180400.65</v>
      </c>
      <c r="BI22" s="38" t="n">
        <v>134553.49</v>
      </c>
      <c r="BJ22" s="38" t="n">
        <v>108785.53</v>
      </c>
      <c r="BK22" s="38" t="n">
        <v>91086.00999999999</v>
      </c>
      <c r="BL22" s="38" t="n">
        <v>64441.37</v>
      </c>
      <c r="BM22" s="38" t="n">
        <v>132024.28</v>
      </c>
    </row>
    <row r="23">
      <c r="A23" t="inlineStr">
        <is>
          <t>Total Production Tax</t>
        </is>
      </c>
      <c r="C23" s="38" t="n">
        <v>560889.8199999999</v>
      </c>
      <c r="D23" s="38" t="n">
        <v>1025044.22</v>
      </c>
      <c r="E23" s="38" t="n">
        <v>1971051.06</v>
      </c>
      <c r="F23" s="38" t="n">
        <v>1797304.55</v>
      </c>
      <c r="G23" s="38" t="n">
        <v>1856685.07</v>
      </c>
      <c r="H23" s="38" t="n">
        <v>3001066.91</v>
      </c>
      <c r="I23" s="38" t="n">
        <v>2998270</v>
      </c>
      <c r="J23" s="38" t="n">
        <v>4186315.35</v>
      </c>
      <c r="K23" s="38" t="n">
        <v>3379563.13</v>
      </c>
      <c r="L23" s="38" t="n">
        <v>4207550.46</v>
      </c>
      <c r="M23" s="38" t="n">
        <v>3662478.98</v>
      </c>
      <c r="N23" s="38" t="n">
        <v>3555693.59</v>
      </c>
      <c r="O23" s="38" t="n">
        <v>32201913.11</v>
      </c>
      <c r="P23" s="38" t="n"/>
      <c r="Q23" s="38" t="n">
        <v>3654631.51</v>
      </c>
      <c r="R23" s="38" t="n">
        <v>3093213.09</v>
      </c>
      <c r="S23" s="38" t="n">
        <v>3490933.76</v>
      </c>
      <c r="T23" s="38" t="n">
        <v>3750670.27</v>
      </c>
      <c r="U23" s="38" t="n">
        <v>3533899.23</v>
      </c>
      <c r="V23" s="38" t="n">
        <v>2458879.79</v>
      </c>
      <c r="W23" s="38" t="n">
        <v>2723818.23</v>
      </c>
      <c r="X23" s="38" t="n">
        <v>3149517.63</v>
      </c>
      <c r="Y23" s="38" t="n">
        <v>2546162.49</v>
      </c>
      <c r="Z23" s="38" t="n">
        <v>2466081.66</v>
      </c>
      <c r="AA23" s="38" t="n">
        <v>2897581.01</v>
      </c>
      <c r="AB23" s="38" t="n">
        <v>2090052.5</v>
      </c>
      <c r="AC23" s="38" t="n">
        <v>35855441.17</v>
      </c>
      <c r="AD23" s="38" t="n"/>
      <c r="AE23" s="38" t="n">
        <v>2605214</v>
      </c>
      <c r="AF23" s="38" t="n">
        <v>2186950.56</v>
      </c>
      <c r="AG23" s="38" t="n">
        <v>2084187.8</v>
      </c>
      <c r="AH23" s="38" t="n">
        <v>1596602.45</v>
      </c>
      <c r="AI23" s="38" t="n">
        <v>2120682.56</v>
      </c>
      <c r="AJ23" s="38" t="n">
        <v>1994765.31</v>
      </c>
      <c r="AK23" s="38" t="n">
        <v>2162907.16</v>
      </c>
      <c r="AL23" s="38" t="n">
        <v>2072400.98</v>
      </c>
      <c r="AM23" s="38" t="n">
        <v>1732854.47</v>
      </c>
      <c r="AN23" s="38" t="n">
        <v>1626631.68</v>
      </c>
      <c r="AO23" s="38" t="n">
        <v>1951707.71</v>
      </c>
      <c r="AP23" s="38" t="n">
        <v>1428591.59</v>
      </c>
      <c r="AQ23" s="38" t="n">
        <v>23563496.27</v>
      </c>
      <c r="AR23" s="38" t="n"/>
      <c r="AS23" s="38" t="n">
        <v>1499742.91</v>
      </c>
      <c r="AT23" s="38" t="n">
        <v>1641114.73</v>
      </c>
      <c r="AU23" s="38" t="n">
        <v>1630076.41</v>
      </c>
      <c r="AV23" s="38" t="n">
        <v>2030176.41</v>
      </c>
      <c r="AW23" s="38" t="n">
        <v>1272379.5</v>
      </c>
      <c r="AX23" s="38" t="n">
        <v>1181496.24</v>
      </c>
      <c r="AY23" s="38" t="n">
        <v>1137016.59</v>
      </c>
      <c r="AZ23" s="38" t="n">
        <v>1088114.88</v>
      </c>
      <c r="BA23" s="38" t="n">
        <v>1426215.03</v>
      </c>
      <c r="BB23" s="38" t="n">
        <v>904243.96</v>
      </c>
      <c r="BC23" s="38" t="n">
        <v>1101806.81</v>
      </c>
      <c r="BD23" s="38" t="n">
        <v>1037950.62</v>
      </c>
      <c r="BE23" s="38" t="n">
        <v>15950334.08</v>
      </c>
      <c r="BF23" s="38" t="n"/>
      <c r="BG23" s="38" t="n">
        <v>1163669.59</v>
      </c>
      <c r="BH23" s="38" t="n">
        <v>1209998.77</v>
      </c>
      <c r="BI23" s="38" t="n">
        <v>1086006.2</v>
      </c>
      <c r="BJ23" s="38" t="n">
        <v>1131698.91</v>
      </c>
      <c r="BK23" s="38" t="n">
        <v>1118980.09</v>
      </c>
      <c r="BL23" s="38" t="n">
        <v>1009319.53</v>
      </c>
      <c r="BM23" s="38" t="n">
        <v>937985.29</v>
      </c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</row>
    <row r="25">
      <c r="A25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</row>
    <row r="26">
      <c r="A26" t="inlineStr">
        <is>
          <t>Revenue Deducts - Oil</t>
        </is>
      </c>
      <c r="C26" s="38" t="n">
        <v>120065.65</v>
      </c>
      <c r="D26" s="38" t="n">
        <v>190850.22</v>
      </c>
      <c r="E26" s="38" t="n">
        <v>594298.1800000001</v>
      </c>
      <c r="F26" s="38" t="n">
        <v>410979.73</v>
      </c>
      <c r="G26" s="38" t="n">
        <v>262392.7</v>
      </c>
      <c r="H26" s="38" t="n">
        <v>844039.35</v>
      </c>
      <c r="I26" s="38" t="n">
        <v>759192.21</v>
      </c>
      <c r="J26" s="38" t="n">
        <v>1371867.93</v>
      </c>
      <c r="K26" s="38" t="n">
        <v>580440.75</v>
      </c>
      <c r="L26" s="38" t="n">
        <v>1133325.88</v>
      </c>
      <c r="M26" s="38" t="n">
        <v>1453500.35</v>
      </c>
      <c r="N26" s="38" t="n">
        <v>377976.88</v>
      </c>
      <c r="O26" s="38" t="n">
        <v>8098929.82</v>
      </c>
      <c r="P26" s="38" t="n"/>
      <c r="Q26" s="38" t="n">
        <v>422499.64</v>
      </c>
      <c r="R26" s="38" t="n">
        <v>945080.7</v>
      </c>
      <c r="S26" s="38" t="n">
        <v>728064.48</v>
      </c>
      <c r="T26" s="38" t="n">
        <v>748182.16</v>
      </c>
      <c r="U26" s="38" t="n">
        <v>960826.14</v>
      </c>
      <c r="V26" s="38" t="n">
        <v>788275.16</v>
      </c>
      <c r="W26" s="38" t="n">
        <v>957376.15</v>
      </c>
      <c r="X26" s="38" t="n">
        <v>1037588.11</v>
      </c>
      <c r="Y26" s="38" t="n">
        <v>987359.1</v>
      </c>
      <c r="Z26" s="38" t="n">
        <v>416971.59</v>
      </c>
      <c r="AA26" s="38" t="n">
        <v>633448.27</v>
      </c>
      <c r="AB26" s="38" t="n">
        <v>486640.27</v>
      </c>
      <c r="AC26" s="38" t="n">
        <v>9112311.77</v>
      </c>
      <c r="AD26" s="38" t="n"/>
      <c r="AE26" s="38" t="n">
        <v>821364.51</v>
      </c>
      <c r="AF26" s="38" t="n">
        <v>528626.4399999999</v>
      </c>
      <c r="AG26" s="38" t="n">
        <v>705457.39</v>
      </c>
      <c r="AH26" s="38" t="n">
        <v>748835.3199999999</v>
      </c>
      <c r="AI26" s="38" t="n">
        <v>331347.2</v>
      </c>
      <c r="AJ26" s="38" t="n">
        <v>657102.5</v>
      </c>
      <c r="AK26" s="38" t="n">
        <v>729534.8199999999</v>
      </c>
      <c r="AL26" s="38" t="n">
        <v>471148.07</v>
      </c>
      <c r="AM26" s="38" t="n">
        <v>722802.51</v>
      </c>
      <c r="AN26" s="38" t="n">
        <v>285203.9</v>
      </c>
      <c r="AO26" s="38" t="n">
        <v>662390.92</v>
      </c>
      <c r="AP26" s="38" t="n">
        <v>358890.9</v>
      </c>
      <c r="AQ26" s="38" t="n">
        <v>7022704.46</v>
      </c>
      <c r="AR26" s="38" t="n"/>
      <c r="AS26" s="38" t="n">
        <v>223842</v>
      </c>
      <c r="AT26" s="38" t="n">
        <v>339857.96</v>
      </c>
      <c r="AU26" s="38" t="n">
        <v>417532.37</v>
      </c>
      <c r="AV26" s="38" t="n">
        <v>622979.8</v>
      </c>
      <c r="AW26" s="38" t="n">
        <v>421741.24</v>
      </c>
      <c r="AX26" s="38" t="n">
        <v>464729.62</v>
      </c>
      <c r="AY26" s="38" t="n">
        <v>384914.82</v>
      </c>
      <c r="AZ26" s="38" t="n">
        <v>389446.91</v>
      </c>
      <c r="BA26" s="38" t="n">
        <v>271223.75</v>
      </c>
      <c r="BB26" s="38" t="n">
        <v>385595.39</v>
      </c>
      <c r="BC26" s="38" t="n">
        <v>416153.57</v>
      </c>
      <c r="BD26" s="38" t="n">
        <v>269865.05</v>
      </c>
      <c r="BE26" s="38" t="n">
        <v>4607882.49</v>
      </c>
      <c r="BF26" s="38" t="n"/>
      <c r="BG26" s="38" t="n">
        <v>235862.96</v>
      </c>
      <c r="BH26" s="38" t="n">
        <v>196147.65</v>
      </c>
      <c r="BI26" s="38" t="n">
        <v>205556.94</v>
      </c>
      <c r="BJ26" s="38" t="n">
        <v>154161.28</v>
      </c>
      <c r="BK26" s="38" t="n">
        <v>209919.68</v>
      </c>
      <c r="BL26" s="38" t="n">
        <v>203065.16</v>
      </c>
      <c r="BM26" s="38" t="n">
        <v>359675.99</v>
      </c>
    </row>
    <row r="27">
      <c r="A27" t="inlineStr">
        <is>
          <t>Revenue Deducts - Gas</t>
        </is>
      </c>
      <c r="C27" s="38" t="n">
        <v>128328.59</v>
      </c>
      <c r="D27" s="38" t="n">
        <v>499526.56</v>
      </c>
      <c r="E27" s="38" t="n">
        <v>709677.58</v>
      </c>
      <c r="F27" s="38" t="n">
        <v>483517.85</v>
      </c>
      <c r="G27" s="38" t="n">
        <v>642719.29</v>
      </c>
      <c r="H27" s="38" t="n">
        <v>522751.58</v>
      </c>
      <c r="I27" s="38" t="n">
        <v>780106.11</v>
      </c>
      <c r="J27" s="38" t="n">
        <v>1001183.81</v>
      </c>
      <c r="K27" s="38" t="n">
        <v>1388145.32</v>
      </c>
      <c r="L27" s="38" t="n">
        <v>1725810.16</v>
      </c>
      <c r="M27" s="38" t="n">
        <v>1264425.2</v>
      </c>
      <c r="N27" s="38" t="n">
        <v>1133282.72</v>
      </c>
      <c r="O27" s="38" t="n">
        <v>10279474.78</v>
      </c>
      <c r="P27" s="38" t="n"/>
      <c r="Q27" s="38" t="n">
        <v>1689144.4</v>
      </c>
      <c r="R27" s="38" t="n">
        <v>1095057.51</v>
      </c>
      <c r="S27" s="38" t="n">
        <v>1637466.46</v>
      </c>
      <c r="T27" s="38" t="n">
        <v>668179.95</v>
      </c>
      <c r="U27" s="38" t="n">
        <v>1092632.52</v>
      </c>
      <c r="V27" s="38" t="n">
        <v>1448232.78</v>
      </c>
      <c r="W27" s="38" t="n">
        <v>1534784.09</v>
      </c>
      <c r="X27" s="38" t="n">
        <v>762908.51</v>
      </c>
      <c r="Y27" s="38" t="n">
        <v>502894.27</v>
      </c>
      <c r="Z27" s="38" t="n">
        <v>892128.1800000001</v>
      </c>
      <c r="AA27" s="38" t="n">
        <v>1355638.13</v>
      </c>
      <c r="AB27" s="38" t="n">
        <v>905934.09</v>
      </c>
      <c r="AC27" s="38" t="n">
        <v>13585000.87</v>
      </c>
      <c r="AD27" s="38" t="n"/>
      <c r="AE27" s="38" t="n">
        <v>396675.45</v>
      </c>
      <c r="AF27" s="38" t="n">
        <v>373873.09</v>
      </c>
      <c r="AG27" s="38" t="n">
        <v>609253.6</v>
      </c>
      <c r="AH27" s="38" t="n">
        <v>1084083.71</v>
      </c>
      <c r="AI27" s="38" t="n">
        <v>1015567.8</v>
      </c>
      <c r="AJ27" s="38" t="n">
        <v>611558.61</v>
      </c>
      <c r="AK27" s="38" t="n">
        <v>680856.1800000001</v>
      </c>
      <c r="AL27" s="38" t="n">
        <v>930085.23</v>
      </c>
      <c r="AM27" s="38" t="n">
        <v>495832.54</v>
      </c>
      <c r="AN27" s="38" t="n">
        <v>245989.31</v>
      </c>
      <c r="AO27" s="38" t="n">
        <v>518003.16</v>
      </c>
      <c r="AP27" s="38" t="n">
        <v>363508.55</v>
      </c>
      <c r="AQ27" s="38" t="n">
        <v>7325287.23</v>
      </c>
      <c r="AR27" s="38" t="n"/>
      <c r="AS27" s="38" t="n">
        <v>338416.33</v>
      </c>
      <c r="AT27" s="38" t="n">
        <v>487253.25</v>
      </c>
      <c r="AU27" s="38" t="n">
        <v>612545.05</v>
      </c>
      <c r="AV27" s="38" t="n">
        <v>292099.95</v>
      </c>
      <c r="AW27" s="38" t="n">
        <v>564874.99</v>
      </c>
      <c r="AX27" s="38" t="n">
        <v>325459.56</v>
      </c>
      <c r="AY27" s="38" t="n">
        <v>603468.86</v>
      </c>
      <c r="AZ27" s="38" t="n">
        <v>242917.2</v>
      </c>
      <c r="BA27" s="38" t="n">
        <v>649461.16</v>
      </c>
      <c r="BB27" s="38" t="n">
        <v>376853.85</v>
      </c>
      <c r="BC27" s="38" t="n">
        <v>543544.92</v>
      </c>
      <c r="BD27" s="38" t="n">
        <v>255329.97</v>
      </c>
      <c r="BE27" s="38" t="n">
        <v>5292225.1</v>
      </c>
      <c r="BF27" s="38" t="n"/>
      <c r="BG27" s="38" t="n">
        <v>424914.21</v>
      </c>
      <c r="BH27" s="38" t="n">
        <v>600179.55</v>
      </c>
      <c r="BI27" s="38" t="n">
        <v>162830.66</v>
      </c>
      <c r="BJ27" s="38" t="n">
        <v>352774.84</v>
      </c>
      <c r="BK27" s="38" t="n">
        <v>566943.47</v>
      </c>
      <c r="BL27" s="38" t="n">
        <v>314522.65</v>
      </c>
      <c r="BM27" s="38" t="n">
        <v>350770.31</v>
      </c>
    </row>
    <row r="28">
      <c r="A28" t="inlineStr">
        <is>
          <t>Revenue Deducts - Liquids</t>
        </is>
      </c>
      <c r="C28" s="38" t="n">
        <v>49467.98</v>
      </c>
      <c r="D28" s="38" t="n">
        <v>73136.78</v>
      </c>
      <c r="E28" s="38" t="n">
        <v>203041.1</v>
      </c>
      <c r="F28" s="38" t="n">
        <v>165703.1</v>
      </c>
      <c r="G28" s="38" t="n">
        <v>208536.95</v>
      </c>
      <c r="H28" s="38" t="n">
        <v>264051.82</v>
      </c>
      <c r="I28" s="38" t="n">
        <v>201930.08</v>
      </c>
      <c r="J28" s="38" t="n">
        <v>451421.42</v>
      </c>
      <c r="K28" s="38" t="n">
        <v>359382.67</v>
      </c>
      <c r="L28" s="38" t="n">
        <v>251678.11</v>
      </c>
      <c r="M28" s="38" t="n">
        <v>411109.89</v>
      </c>
      <c r="N28" s="38" t="n">
        <v>269321.36</v>
      </c>
      <c r="O28" s="38" t="n">
        <v>2908781.27</v>
      </c>
      <c r="P28" s="38" t="n"/>
      <c r="Q28" s="38" t="n">
        <v>330581.3</v>
      </c>
      <c r="R28" s="38" t="n">
        <v>330754.1</v>
      </c>
      <c r="S28" s="38" t="n">
        <v>362959.42</v>
      </c>
      <c r="T28" s="38" t="n">
        <v>326366.73</v>
      </c>
      <c r="U28" s="38" t="n">
        <v>202114.85</v>
      </c>
      <c r="V28" s="38" t="n">
        <v>210377.8</v>
      </c>
      <c r="W28" s="38" t="n">
        <v>162134.47</v>
      </c>
      <c r="X28" s="38" t="n">
        <v>277063.82</v>
      </c>
      <c r="Y28" s="38" t="n">
        <v>261753.97</v>
      </c>
      <c r="Z28" s="38" t="n">
        <v>183733.8</v>
      </c>
      <c r="AA28" s="38" t="n">
        <v>256597.3</v>
      </c>
      <c r="AB28" s="38" t="n">
        <v>162023.04</v>
      </c>
      <c r="AC28" s="38" t="n">
        <v>3066460.6</v>
      </c>
      <c r="AD28" s="38" t="n"/>
      <c r="AE28" s="38" t="n">
        <v>188408.75</v>
      </c>
      <c r="AF28" s="38" t="n">
        <v>99434.94</v>
      </c>
      <c r="AG28" s="38" t="n">
        <v>195980.26</v>
      </c>
      <c r="AH28" s="38" t="n">
        <v>178019.34</v>
      </c>
      <c r="AI28" s="38" t="n">
        <v>254742.63</v>
      </c>
      <c r="AJ28" s="38" t="n">
        <v>193678.75</v>
      </c>
      <c r="AK28" s="38" t="n">
        <v>182349.43</v>
      </c>
      <c r="AL28" s="38" t="n">
        <v>140004.15</v>
      </c>
      <c r="AM28" s="38" t="n">
        <v>167382.16</v>
      </c>
      <c r="AN28" s="38" t="n">
        <v>220373.83</v>
      </c>
      <c r="AO28" s="38" t="n">
        <v>120401.67</v>
      </c>
      <c r="AP28" s="38" t="n">
        <v>121466.09</v>
      </c>
      <c r="AQ28" s="38" t="n">
        <v>2062242</v>
      </c>
      <c r="AR28" s="38" t="n"/>
      <c r="AS28" s="38" t="n">
        <v>89102.41</v>
      </c>
      <c r="AT28" s="38" t="n">
        <v>184551.06</v>
      </c>
      <c r="AU28" s="38" t="n">
        <v>171782.88</v>
      </c>
      <c r="AV28" s="38" t="n">
        <v>172949.18</v>
      </c>
      <c r="AW28" s="38" t="n">
        <v>113954.86</v>
      </c>
      <c r="AX28" s="38" t="n">
        <v>169665.76</v>
      </c>
      <c r="AY28" s="38" t="n">
        <v>115852.03</v>
      </c>
      <c r="AZ28" s="38" t="n">
        <v>61250.58</v>
      </c>
      <c r="BA28" s="38" t="n">
        <v>180322.37</v>
      </c>
      <c r="BB28" s="38" t="n">
        <v>82982.50999999999</v>
      </c>
      <c r="BC28" s="38" t="n">
        <v>95781.92</v>
      </c>
      <c r="BD28" s="38" t="n">
        <v>127744.28</v>
      </c>
      <c r="BE28" s="38" t="n">
        <v>1565939.83</v>
      </c>
      <c r="BF28" s="38" t="n"/>
      <c r="BG28" s="38" t="n">
        <v>62929.9</v>
      </c>
      <c r="BH28" s="38" t="n">
        <v>170388.88</v>
      </c>
      <c r="BI28" s="38" t="n">
        <v>106143.5</v>
      </c>
      <c r="BJ28" s="38" t="n">
        <v>114045.36</v>
      </c>
      <c r="BK28" s="38" t="n">
        <v>65715.34</v>
      </c>
      <c r="BL28" s="38" t="n">
        <v>103464.03</v>
      </c>
      <c r="BM28" s="38" t="n">
        <v>100577.84</v>
      </c>
    </row>
    <row r="29">
      <c r="A29" t="inlineStr">
        <is>
          <t>Total Deductions</t>
        </is>
      </c>
      <c r="C29" s="38" t="n">
        <v>297862.22</v>
      </c>
      <c r="D29" s="38" t="n">
        <v>763513.5600000001</v>
      </c>
      <c r="E29" s="38" t="n">
        <v>1507016.86</v>
      </c>
      <c r="F29" s="38" t="n">
        <v>1060200.68</v>
      </c>
      <c r="G29" s="38" t="n">
        <v>1113648.94</v>
      </c>
      <c r="H29" s="38" t="n">
        <v>1630842.76</v>
      </c>
      <c r="I29" s="38" t="n">
        <v>1741228.4</v>
      </c>
      <c r="J29" s="38" t="n">
        <v>2824473.16</v>
      </c>
      <c r="K29" s="38" t="n">
        <v>2327968.74</v>
      </c>
      <c r="L29" s="38" t="n">
        <v>3110814.15</v>
      </c>
      <c r="M29" s="38" t="n">
        <v>3129035.44</v>
      </c>
      <c r="N29" s="38" t="n">
        <v>1780580.97</v>
      </c>
      <c r="O29" s="38" t="n">
        <v>21287185.87</v>
      </c>
      <c r="P29" s="38" t="n"/>
      <c r="Q29" s="38" t="n">
        <v>2442225.34</v>
      </c>
      <c r="R29" s="38" t="n">
        <v>2370892.31</v>
      </c>
      <c r="S29" s="38" t="n">
        <v>2728490.35</v>
      </c>
      <c r="T29" s="38" t="n">
        <v>1742728.84</v>
      </c>
      <c r="U29" s="38" t="n">
        <v>2255573.51</v>
      </c>
      <c r="V29" s="38" t="n">
        <v>2446885.73</v>
      </c>
      <c r="W29" s="38" t="n">
        <v>2654294.72</v>
      </c>
      <c r="X29" s="38" t="n">
        <v>2077560.44</v>
      </c>
      <c r="Y29" s="38" t="n">
        <v>1752007.34</v>
      </c>
      <c r="Z29" s="38" t="n">
        <v>1492833.56</v>
      </c>
      <c r="AA29" s="38" t="n">
        <v>2245683.71</v>
      </c>
      <c r="AB29" s="38" t="n">
        <v>1554597.39</v>
      </c>
      <c r="AC29" s="38" t="n">
        <v>25763773.24</v>
      </c>
      <c r="AD29" s="38" t="n"/>
      <c r="AE29" s="38" t="n">
        <v>1406448.71</v>
      </c>
      <c r="AF29" s="38" t="n">
        <v>1001934.47</v>
      </c>
      <c r="AG29" s="38" t="n">
        <v>1510691.25</v>
      </c>
      <c r="AH29" s="38" t="n">
        <v>2010938.37</v>
      </c>
      <c r="AI29" s="38" t="n">
        <v>1601657.63</v>
      </c>
      <c r="AJ29" s="38" t="n">
        <v>1462339.86</v>
      </c>
      <c r="AK29" s="38" t="n">
        <v>1592740.43</v>
      </c>
      <c r="AL29" s="38" t="n">
        <v>1541237.45</v>
      </c>
      <c r="AM29" s="38" t="n">
        <v>1386017.21</v>
      </c>
      <c r="AN29" s="38" t="n">
        <v>751567.04</v>
      </c>
      <c r="AO29" s="38" t="n">
        <v>1300795.74</v>
      </c>
      <c r="AP29" s="38" t="n">
        <v>843865.54</v>
      </c>
      <c r="AQ29" s="38" t="n">
        <v>16410233.69</v>
      </c>
      <c r="AR29" s="38" t="n"/>
      <c r="AS29" s="38" t="n">
        <v>651360.74</v>
      </c>
      <c r="AT29" s="38" t="n">
        <v>1011662.27</v>
      </c>
      <c r="AU29" s="38" t="n">
        <v>1201860.3</v>
      </c>
      <c r="AV29" s="38" t="n">
        <v>1088028.93</v>
      </c>
      <c r="AW29" s="38" t="n">
        <v>1100571.09</v>
      </c>
      <c r="AX29" s="38" t="n">
        <v>959854.95</v>
      </c>
      <c r="AY29" s="38" t="n">
        <v>1104235.7</v>
      </c>
      <c r="AZ29" s="38" t="n">
        <v>693614.7</v>
      </c>
      <c r="BA29" s="38" t="n">
        <v>1101007.28</v>
      </c>
      <c r="BB29" s="38" t="n">
        <v>845431.75</v>
      </c>
      <c r="BC29" s="38" t="n">
        <v>1055480.41</v>
      </c>
      <c r="BD29" s="38" t="n">
        <v>652939.3</v>
      </c>
      <c r="BE29" s="38" t="n">
        <v>11466047.42</v>
      </c>
      <c r="BF29" s="38" t="n"/>
      <c r="BG29" s="38" t="n">
        <v>723707.0600000001</v>
      </c>
      <c r="BH29" s="38" t="n">
        <v>966716.09</v>
      </c>
      <c r="BI29" s="38" t="n">
        <v>474531.1</v>
      </c>
      <c r="BJ29" s="38" t="n">
        <v>620981.49</v>
      </c>
      <c r="BK29" s="38" t="n">
        <v>842578.49</v>
      </c>
      <c r="BL29" s="38" t="n">
        <v>621051.83</v>
      </c>
      <c r="BM29" s="38" t="n">
        <v>811024.14</v>
      </c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</row>
    <row r="31">
      <c r="A31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</row>
    <row r="32">
      <c r="A32" t="inlineStr">
        <is>
          <t>5401 - LOE - CHARTS, METERS &amp; AUTOM</t>
        </is>
      </c>
      <c r="C32" s="38" t="n">
        <v>297500.45</v>
      </c>
      <c r="D32" s="38" t="n">
        <v>334047.5</v>
      </c>
      <c r="E32" s="38" t="n">
        <v>772556.0600000001</v>
      </c>
      <c r="F32" s="38" t="n">
        <v>692971.1</v>
      </c>
      <c r="G32" s="38" t="n">
        <v>929547.1899999999</v>
      </c>
      <c r="H32" s="38" t="n">
        <v>1002761.88</v>
      </c>
      <c r="I32" s="38" t="n">
        <v>1377771.67</v>
      </c>
      <c r="J32" s="38" t="n">
        <v>1858773.96</v>
      </c>
      <c r="K32" s="38" t="n">
        <v>1165233.74</v>
      </c>
      <c r="L32" s="38" t="n">
        <v>1998139.57</v>
      </c>
      <c r="M32" s="38" t="n">
        <v>1842125.11</v>
      </c>
      <c r="N32" s="38" t="n">
        <v>1721812.91</v>
      </c>
      <c r="O32" s="38" t="n">
        <v>13993241.13</v>
      </c>
      <c r="P32" s="38" t="n"/>
      <c r="Q32" s="38" t="n">
        <v>1762820.77</v>
      </c>
      <c r="R32" s="38" t="n">
        <v>1199769.03</v>
      </c>
      <c r="S32" s="38" t="n">
        <v>1808029.79</v>
      </c>
      <c r="T32" s="38" t="n">
        <v>1785951</v>
      </c>
      <c r="U32" s="38" t="n">
        <v>1562221.94</v>
      </c>
      <c r="V32" s="38" t="n">
        <v>1297985.24</v>
      </c>
      <c r="W32" s="38" t="n">
        <v>1046160.81</v>
      </c>
      <c r="X32" s="38" t="n">
        <v>961364.01</v>
      </c>
      <c r="Y32" s="38" t="n">
        <v>838327.8199999999</v>
      </c>
      <c r="Z32" s="38" t="n">
        <v>1063838.16</v>
      </c>
      <c r="AA32" s="38" t="n">
        <v>1368530.72</v>
      </c>
      <c r="AB32" s="38" t="n">
        <v>787292.77</v>
      </c>
      <c r="AC32" s="38" t="n">
        <v>15482292.07</v>
      </c>
      <c r="AD32" s="38" t="n"/>
      <c r="AE32" s="38" t="n">
        <v>1042231.44</v>
      </c>
      <c r="AF32" s="38" t="n">
        <v>974746.98</v>
      </c>
      <c r="AG32" s="38" t="n">
        <v>1023332.17</v>
      </c>
      <c r="AH32" s="38" t="n">
        <v>546275</v>
      </c>
      <c r="AI32" s="38" t="n">
        <v>824258.21</v>
      </c>
      <c r="AJ32" s="38" t="n">
        <v>688620.29</v>
      </c>
      <c r="AK32" s="38" t="n">
        <v>1084260.65</v>
      </c>
      <c r="AL32" s="38" t="n">
        <v>1020830.69</v>
      </c>
      <c r="AM32" s="38" t="n">
        <v>651711.7</v>
      </c>
      <c r="AN32" s="38" t="n">
        <v>751574.96</v>
      </c>
      <c r="AO32" s="38" t="n">
        <v>602847.3199999999</v>
      </c>
      <c r="AP32" s="38" t="n">
        <v>546496.34</v>
      </c>
      <c r="AQ32" s="38" t="n">
        <v>9757185.75</v>
      </c>
      <c r="AR32" s="38" t="n"/>
      <c r="AS32" s="38" t="n">
        <v>431599.8</v>
      </c>
      <c r="AT32" s="38" t="n">
        <v>632805.24</v>
      </c>
      <c r="AU32" s="38" t="n">
        <v>707111.76</v>
      </c>
      <c r="AV32" s="38" t="n">
        <v>638260.63</v>
      </c>
      <c r="AW32" s="38" t="n">
        <v>452415.52</v>
      </c>
      <c r="AX32" s="38" t="n">
        <v>471453.1</v>
      </c>
      <c r="AY32" s="38" t="n">
        <v>544632.6</v>
      </c>
      <c r="AZ32" s="38" t="n">
        <v>407941.61</v>
      </c>
      <c r="BA32" s="38" t="n">
        <v>577851.03</v>
      </c>
      <c r="BB32" s="38" t="n">
        <v>361430.57</v>
      </c>
      <c r="BC32" s="38" t="n">
        <v>325417.32</v>
      </c>
      <c r="BD32" s="38" t="n">
        <v>462201.53</v>
      </c>
      <c r="BE32" s="38" t="n">
        <v>6013120.71</v>
      </c>
      <c r="BF32" s="38" t="n"/>
      <c r="BG32" s="38" t="n">
        <v>370209.57</v>
      </c>
      <c r="BH32" s="38" t="n">
        <v>581408.55</v>
      </c>
      <c r="BI32" s="38" t="n">
        <v>510714.51</v>
      </c>
      <c r="BJ32" s="38" t="n">
        <v>499116.58</v>
      </c>
      <c r="BK32" s="38" t="n">
        <v>432899.2</v>
      </c>
      <c r="BL32" s="38" t="n">
        <v>520678.25</v>
      </c>
      <c r="BM32" s="38" t="n">
        <v>474069.18</v>
      </c>
    </row>
    <row r="33">
      <c r="A33" t="inlineStr">
        <is>
          <t>5402 - LOE - CHEMICALS &amp; TREATING</t>
        </is>
      </c>
      <c r="C33" s="38" t="n">
        <v>208619.29</v>
      </c>
      <c r="D33" s="38" t="n">
        <v>410650.22</v>
      </c>
      <c r="E33" s="38" t="n">
        <v>759144.05</v>
      </c>
      <c r="F33" s="38" t="n">
        <v>862451.9399999999</v>
      </c>
      <c r="G33" s="38" t="n">
        <v>835631.64</v>
      </c>
      <c r="H33" s="38" t="n">
        <v>1347473.34</v>
      </c>
      <c r="I33" s="38" t="n">
        <v>1406135.77</v>
      </c>
      <c r="J33" s="38" t="n">
        <v>1939167.91</v>
      </c>
      <c r="K33" s="38" t="n">
        <v>1097048.59</v>
      </c>
      <c r="L33" s="38" t="n">
        <v>1723997.42</v>
      </c>
      <c r="M33" s="38" t="n">
        <v>1718215.91</v>
      </c>
      <c r="N33" s="38" t="n">
        <v>1906425.35</v>
      </c>
      <c r="O33" s="38" t="n">
        <v>14214961.42</v>
      </c>
      <c r="P33" s="38" t="n"/>
      <c r="Q33" s="38" t="n">
        <v>1915010.48</v>
      </c>
      <c r="R33" s="38" t="n">
        <v>1278491.25</v>
      </c>
      <c r="S33" s="38" t="n">
        <v>1135774.51</v>
      </c>
      <c r="T33" s="38" t="n">
        <v>1232268.06</v>
      </c>
      <c r="U33" s="38" t="n">
        <v>1631603.17</v>
      </c>
      <c r="V33" s="38" t="n">
        <v>770730.42</v>
      </c>
      <c r="W33" s="38" t="n">
        <v>1410798.9</v>
      </c>
      <c r="X33" s="38" t="n">
        <v>1354024.11</v>
      </c>
      <c r="Y33" s="38" t="n">
        <v>846305.51</v>
      </c>
      <c r="Z33" s="38" t="n">
        <v>1321508.85</v>
      </c>
      <c r="AA33" s="38" t="n">
        <v>1340202.08</v>
      </c>
      <c r="AB33" s="38" t="n">
        <v>713092.58</v>
      </c>
      <c r="AC33" s="38" t="n">
        <v>14949809.92</v>
      </c>
      <c r="AD33" s="38" t="n"/>
      <c r="AE33" s="38" t="n">
        <v>1375703.7</v>
      </c>
      <c r="AF33" s="38" t="n">
        <v>1120880.29</v>
      </c>
      <c r="AG33" s="38" t="n">
        <v>819963.21</v>
      </c>
      <c r="AH33" s="38" t="n">
        <v>575680.39</v>
      </c>
      <c r="AI33" s="38" t="n">
        <v>701551.53</v>
      </c>
      <c r="AJ33" s="38" t="n">
        <v>606225.5</v>
      </c>
      <c r="AK33" s="38" t="n">
        <v>772466.3199999999</v>
      </c>
      <c r="AL33" s="38" t="n">
        <v>874997.96</v>
      </c>
      <c r="AM33" s="38" t="n">
        <v>797798.78</v>
      </c>
      <c r="AN33" s="38" t="n">
        <v>626804.8199999999</v>
      </c>
      <c r="AO33" s="38" t="n">
        <v>1064443.06</v>
      </c>
      <c r="AP33" s="38" t="n">
        <v>462024.51</v>
      </c>
      <c r="AQ33" s="38" t="n">
        <v>9798540.08</v>
      </c>
      <c r="AR33" s="38" t="n"/>
      <c r="AS33" s="38" t="n">
        <v>623190.14</v>
      </c>
      <c r="AT33" s="38" t="n">
        <v>714332.4</v>
      </c>
      <c r="AU33" s="38" t="n">
        <v>501149.33</v>
      </c>
      <c r="AV33" s="38" t="n">
        <v>1082011.3</v>
      </c>
      <c r="AW33" s="38" t="n">
        <v>492006.97</v>
      </c>
      <c r="AX33" s="38" t="n">
        <v>367688.27</v>
      </c>
      <c r="AY33" s="38" t="n">
        <v>565106.23</v>
      </c>
      <c r="AZ33" s="38" t="n">
        <v>377572.31</v>
      </c>
      <c r="BA33" s="38" t="n">
        <v>525614.88</v>
      </c>
      <c r="BB33" s="38" t="n">
        <v>315429.85</v>
      </c>
      <c r="BC33" s="38" t="n">
        <v>509635.68</v>
      </c>
      <c r="BD33" s="38" t="n">
        <v>338615.37</v>
      </c>
      <c r="BE33" s="38" t="n">
        <v>6412352.72</v>
      </c>
      <c r="BF33" s="38" t="n"/>
      <c r="BG33" s="38" t="n">
        <v>357693.68</v>
      </c>
      <c r="BH33" s="38" t="n">
        <v>628370.02</v>
      </c>
      <c r="BI33" s="38" t="n">
        <v>486117.17</v>
      </c>
      <c r="BJ33" s="38" t="n">
        <v>511509.18</v>
      </c>
      <c r="BK33" s="38" t="n">
        <v>410068.65</v>
      </c>
      <c r="BL33" s="38" t="n">
        <v>363386.66</v>
      </c>
      <c r="BM33" s="38" t="n">
        <v>328392.1</v>
      </c>
    </row>
    <row r="34">
      <c r="A34" t="inlineStr">
        <is>
          <t>5403 - LOE - COMPANY VEHICLE</t>
        </is>
      </c>
      <c r="C34" s="38" t="n">
        <v>276215.53</v>
      </c>
      <c r="D34" s="38" t="n">
        <v>374417.98</v>
      </c>
      <c r="E34" s="38" t="n">
        <v>813062.47</v>
      </c>
      <c r="F34" s="38" t="n">
        <v>587186.28</v>
      </c>
      <c r="G34" s="38" t="n">
        <v>890147.87</v>
      </c>
      <c r="H34" s="38" t="n">
        <v>1625613.96</v>
      </c>
      <c r="I34" s="38" t="n">
        <v>1483598.01</v>
      </c>
      <c r="J34" s="38" t="n">
        <v>1277354.81</v>
      </c>
      <c r="K34" s="38" t="n">
        <v>1705794.89</v>
      </c>
      <c r="L34" s="38" t="n">
        <v>1340113.65</v>
      </c>
      <c r="M34" s="38" t="n">
        <v>1819320.89</v>
      </c>
      <c r="N34" s="38" t="n">
        <v>1763305.84</v>
      </c>
      <c r="O34" s="38" t="n">
        <v>13956132.2</v>
      </c>
      <c r="P34" s="38" t="n"/>
      <c r="Q34" s="38" t="n">
        <v>1222476.35</v>
      </c>
      <c r="R34" s="38" t="n">
        <v>1273864.46</v>
      </c>
      <c r="S34" s="38" t="n">
        <v>1091649.64</v>
      </c>
      <c r="T34" s="38" t="n">
        <v>1534940.06</v>
      </c>
      <c r="U34" s="38" t="n">
        <v>1553009</v>
      </c>
      <c r="V34" s="38" t="n">
        <v>1301567.45</v>
      </c>
      <c r="W34" s="38" t="n">
        <v>945586.74</v>
      </c>
      <c r="X34" s="38" t="n">
        <v>1692110.98</v>
      </c>
      <c r="Y34" s="38" t="n">
        <v>969255.4300000001</v>
      </c>
      <c r="Z34" s="38" t="n">
        <v>1244615.09</v>
      </c>
      <c r="AA34" s="38" t="n">
        <v>1117806.81</v>
      </c>
      <c r="AB34" s="38" t="n">
        <v>1010672.78</v>
      </c>
      <c r="AC34" s="38" t="n">
        <v>14957554.79</v>
      </c>
      <c r="AD34" s="38" t="n"/>
      <c r="AE34" s="38" t="n">
        <v>1044645.55</v>
      </c>
      <c r="AF34" s="38" t="n">
        <v>711252.55</v>
      </c>
      <c r="AG34" s="38" t="n">
        <v>797745.58</v>
      </c>
      <c r="AH34" s="38" t="n">
        <v>525959.86</v>
      </c>
      <c r="AI34" s="38" t="n">
        <v>1101279.04</v>
      </c>
      <c r="AJ34" s="38" t="n">
        <v>793557.15</v>
      </c>
      <c r="AK34" s="38" t="n">
        <v>873885.3</v>
      </c>
      <c r="AL34" s="38" t="n">
        <v>729391.51</v>
      </c>
      <c r="AM34" s="38" t="n">
        <v>796130.3199999999</v>
      </c>
      <c r="AN34" s="38" t="n">
        <v>696134.11</v>
      </c>
      <c r="AO34" s="38" t="n">
        <v>649685.12</v>
      </c>
      <c r="AP34" s="38" t="n">
        <v>676853.98</v>
      </c>
      <c r="AQ34" s="38" t="n">
        <v>9396520.07</v>
      </c>
      <c r="AR34" s="38" t="n"/>
      <c r="AS34" s="38" t="n">
        <v>738458.0600000001</v>
      </c>
      <c r="AT34" s="38" t="n">
        <v>505333.73</v>
      </c>
      <c r="AU34" s="38" t="n">
        <v>832538.2</v>
      </c>
      <c r="AV34" s="38" t="n">
        <v>911566.2</v>
      </c>
      <c r="AW34" s="38" t="n">
        <v>471588.06</v>
      </c>
      <c r="AX34" s="38" t="n">
        <v>525963.34</v>
      </c>
      <c r="AY34" s="38" t="n">
        <v>438098.13</v>
      </c>
      <c r="AZ34" s="38" t="n">
        <v>448918.06</v>
      </c>
      <c r="BA34" s="38" t="n">
        <v>598899.9</v>
      </c>
      <c r="BB34" s="38" t="n">
        <v>347085.14</v>
      </c>
      <c r="BC34" s="38" t="n">
        <v>489746.64</v>
      </c>
      <c r="BD34" s="38" t="n">
        <v>442167.94</v>
      </c>
      <c r="BE34" s="38" t="n">
        <v>6750363.39</v>
      </c>
      <c r="BF34" s="38" t="n"/>
      <c r="BG34" s="38" t="n">
        <v>370259.23</v>
      </c>
      <c r="BH34" s="38" t="n">
        <v>446016.94</v>
      </c>
      <c r="BI34" s="38" t="n">
        <v>333424.97</v>
      </c>
      <c r="BJ34" s="38" t="n">
        <v>495646.58</v>
      </c>
      <c r="BK34" s="38" t="n">
        <v>488149.61</v>
      </c>
      <c r="BL34" s="38" t="n">
        <v>410096.43</v>
      </c>
      <c r="BM34" s="38" t="n">
        <v>515282.94</v>
      </c>
    </row>
    <row r="35">
      <c r="A35" t="inlineStr">
        <is>
          <t>5404 - LOE - COMPRESSION</t>
        </is>
      </c>
      <c r="C35" s="38" t="n">
        <v>83070.19</v>
      </c>
      <c r="D35" s="38" t="n">
        <v>140667.74</v>
      </c>
      <c r="E35" s="38" t="n">
        <v>467022.99</v>
      </c>
      <c r="F35" s="38" t="n">
        <v>424766.2</v>
      </c>
      <c r="G35" s="38" t="n">
        <v>405596.06</v>
      </c>
      <c r="H35" s="38" t="n">
        <v>723038.3199999999</v>
      </c>
      <c r="I35" s="38" t="n">
        <v>658436.63</v>
      </c>
      <c r="J35" s="38" t="n">
        <v>719352.49</v>
      </c>
      <c r="K35" s="38" t="n">
        <v>603270.41</v>
      </c>
      <c r="L35" s="38" t="n">
        <v>718118.39</v>
      </c>
      <c r="M35" s="38" t="n">
        <v>712737.9</v>
      </c>
      <c r="N35" s="38" t="n">
        <v>704058.26</v>
      </c>
      <c r="O35" s="38" t="n">
        <v>6360135.59</v>
      </c>
      <c r="P35" s="38" t="n"/>
      <c r="Q35" s="38" t="n">
        <v>557184.95</v>
      </c>
      <c r="R35" s="38" t="n">
        <v>639297.9</v>
      </c>
      <c r="S35" s="38" t="n">
        <v>550531.4300000001</v>
      </c>
      <c r="T35" s="38" t="n">
        <v>947839.65</v>
      </c>
      <c r="U35" s="38" t="n">
        <v>835821.95</v>
      </c>
      <c r="V35" s="38" t="n">
        <v>588505.89</v>
      </c>
      <c r="W35" s="38" t="n">
        <v>389955.36</v>
      </c>
      <c r="X35" s="38" t="n">
        <v>743268.5699999999</v>
      </c>
      <c r="Y35" s="38" t="n">
        <v>479121.16</v>
      </c>
      <c r="Z35" s="38" t="n">
        <v>579543.79</v>
      </c>
      <c r="AA35" s="38" t="n">
        <v>564552.3</v>
      </c>
      <c r="AB35" s="38" t="n">
        <v>495288.2</v>
      </c>
      <c r="AC35" s="38" t="n">
        <v>7370911.15</v>
      </c>
      <c r="AD35" s="38" t="n"/>
      <c r="AE35" s="38" t="n">
        <v>440786.02</v>
      </c>
      <c r="AF35" s="38" t="n">
        <v>299997.15</v>
      </c>
      <c r="AG35" s="38" t="n">
        <v>397066.66</v>
      </c>
      <c r="AH35" s="38" t="n">
        <v>266113.74</v>
      </c>
      <c r="AI35" s="38" t="n">
        <v>442787.8</v>
      </c>
      <c r="AJ35" s="38" t="n">
        <v>469593.47</v>
      </c>
      <c r="AK35" s="38" t="n">
        <v>523888.15</v>
      </c>
      <c r="AL35" s="38" t="n">
        <v>390265.77</v>
      </c>
      <c r="AM35" s="38" t="n">
        <v>305147.73</v>
      </c>
      <c r="AN35" s="38" t="n">
        <v>230085.87</v>
      </c>
      <c r="AO35" s="38" t="n">
        <v>292089.18</v>
      </c>
      <c r="AP35" s="38" t="n">
        <v>306830.51</v>
      </c>
      <c r="AQ35" s="38" t="n">
        <v>4364652.07</v>
      </c>
      <c r="AR35" s="38" t="n"/>
      <c r="AS35" s="38" t="n">
        <v>323237.78</v>
      </c>
      <c r="AT35" s="38" t="n">
        <v>378330.46</v>
      </c>
      <c r="AU35" s="38" t="n">
        <v>284386.74</v>
      </c>
      <c r="AV35" s="38" t="n">
        <v>463212.82</v>
      </c>
      <c r="AW35" s="38" t="n">
        <v>265503.35</v>
      </c>
      <c r="AX35" s="38" t="n">
        <v>270658.88</v>
      </c>
      <c r="AY35" s="38" t="n">
        <v>267971.31</v>
      </c>
      <c r="AZ35" s="38" t="n">
        <v>204337.06</v>
      </c>
      <c r="BA35" s="38" t="n">
        <v>208193.06</v>
      </c>
      <c r="BB35" s="38" t="n">
        <v>149878.89</v>
      </c>
      <c r="BC35" s="38" t="n">
        <v>199457.51</v>
      </c>
      <c r="BD35" s="38" t="n">
        <v>209006.04</v>
      </c>
      <c r="BE35" s="38" t="n">
        <v>3224173.91</v>
      </c>
      <c r="BF35" s="38" t="n"/>
      <c r="BG35" s="38" t="n">
        <v>165787.02</v>
      </c>
      <c r="BH35" s="38" t="n">
        <v>258317.25</v>
      </c>
      <c r="BI35" s="38" t="n">
        <v>251927.46</v>
      </c>
      <c r="BJ35" s="38" t="n">
        <v>268746.07</v>
      </c>
      <c r="BK35" s="38" t="n">
        <v>215112.14</v>
      </c>
      <c r="BL35" s="38" t="n">
        <v>241449.04</v>
      </c>
      <c r="BM35" s="38" t="n">
        <v>147061.61</v>
      </c>
    </row>
    <row r="36">
      <c r="A36" t="inlineStr">
        <is>
          <t>5405 - LOE - CONTRACT LABOR</t>
        </is>
      </c>
      <c r="C36" s="38" t="n">
        <v>159236.2</v>
      </c>
      <c r="D36" s="38" t="n">
        <v>445988.35</v>
      </c>
      <c r="E36" s="38" t="n">
        <v>799783</v>
      </c>
      <c r="F36" s="38" t="n">
        <v>771247.36</v>
      </c>
      <c r="G36" s="38" t="n">
        <v>847839.58</v>
      </c>
      <c r="H36" s="38" t="n">
        <v>1131073.26</v>
      </c>
      <c r="I36" s="38" t="n">
        <v>1124515.68</v>
      </c>
      <c r="J36" s="38" t="n">
        <v>1928699.45</v>
      </c>
      <c r="K36" s="38" t="n">
        <v>1334275.08</v>
      </c>
      <c r="L36" s="38" t="n">
        <v>1488130.17</v>
      </c>
      <c r="M36" s="38" t="n">
        <v>1705525.05</v>
      </c>
      <c r="N36" s="38" t="n">
        <v>1003058.27</v>
      </c>
      <c r="O36" s="38" t="n">
        <v>12739371.46</v>
      </c>
      <c r="P36" s="38" t="n"/>
      <c r="Q36" s="38" t="n">
        <v>962116.72</v>
      </c>
      <c r="R36" s="38" t="n">
        <v>1145879.66</v>
      </c>
      <c r="S36" s="38" t="n">
        <v>1490861.06</v>
      </c>
      <c r="T36" s="38" t="n">
        <v>1419852.22</v>
      </c>
      <c r="U36" s="38" t="n">
        <v>1389136.22</v>
      </c>
      <c r="V36" s="38" t="n">
        <v>824248.7</v>
      </c>
      <c r="W36" s="38" t="n">
        <v>752245.39</v>
      </c>
      <c r="X36" s="38" t="n">
        <v>1169511.12</v>
      </c>
      <c r="Y36" s="38" t="n">
        <v>825805.45</v>
      </c>
      <c r="Z36" s="38" t="n">
        <v>957708.11</v>
      </c>
      <c r="AA36" s="38" t="n">
        <v>836132.9300000001</v>
      </c>
      <c r="AB36" s="38" t="n">
        <v>950537.52</v>
      </c>
      <c r="AC36" s="38" t="n">
        <v>12724035.11</v>
      </c>
      <c r="AD36" s="38" t="n"/>
      <c r="AE36" s="38" t="n">
        <v>799894.3199999999</v>
      </c>
      <c r="AF36" s="38" t="n">
        <v>891058.3</v>
      </c>
      <c r="AG36" s="38" t="n">
        <v>796259.79</v>
      </c>
      <c r="AH36" s="38" t="n">
        <v>546260.85</v>
      </c>
      <c r="AI36" s="38" t="n">
        <v>827033.24</v>
      </c>
      <c r="AJ36" s="38" t="n">
        <v>694989.8</v>
      </c>
      <c r="AK36" s="38" t="n">
        <v>834961.77</v>
      </c>
      <c r="AL36" s="38" t="n">
        <v>552332.92</v>
      </c>
      <c r="AM36" s="38" t="n">
        <v>588574.11</v>
      </c>
      <c r="AN36" s="38" t="n">
        <v>651867.49</v>
      </c>
      <c r="AO36" s="38" t="n">
        <v>627258.38</v>
      </c>
      <c r="AP36" s="38" t="n">
        <v>470472.16</v>
      </c>
      <c r="AQ36" s="38" t="n">
        <v>8280963.13</v>
      </c>
      <c r="AR36" s="38" t="n"/>
      <c r="AS36" s="38" t="n">
        <v>399195.83</v>
      </c>
      <c r="AT36" s="38" t="n">
        <v>490083.63</v>
      </c>
      <c r="AU36" s="38" t="n">
        <v>686851.04</v>
      </c>
      <c r="AV36" s="38" t="n">
        <v>939548.34</v>
      </c>
      <c r="AW36" s="38" t="n">
        <v>429823.09</v>
      </c>
      <c r="AX36" s="38" t="n">
        <v>444082.05</v>
      </c>
      <c r="AY36" s="38" t="n">
        <v>409777.28</v>
      </c>
      <c r="AZ36" s="38" t="n">
        <v>394822.71</v>
      </c>
      <c r="BA36" s="38" t="n">
        <v>632038.59</v>
      </c>
      <c r="BB36" s="38" t="n">
        <v>439562.77</v>
      </c>
      <c r="BC36" s="38" t="n">
        <v>332882.05</v>
      </c>
      <c r="BD36" s="38" t="n">
        <v>468679.77</v>
      </c>
      <c r="BE36" s="38" t="n">
        <v>6067347.16</v>
      </c>
      <c r="BF36" s="38" t="n"/>
      <c r="BG36" s="38" t="n">
        <v>454231.23</v>
      </c>
      <c r="BH36" s="38" t="n">
        <v>483423.99</v>
      </c>
      <c r="BI36" s="38" t="n">
        <v>302614.04</v>
      </c>
      <c r="BJ36" s="38" t="n">
        <v>440997.5</v>
      </c>
      <c r="BK36" s="38" t="n">
        <v>392513.84</v>
      </c>
      <c r="BL36" s="38" t="n">
        <v>329248.97</v>
      </c>
      <c r="BM36" s="38" t="n">
        <v>375331.5</v>
      </c>
    </row>
    <row r="37">
      <c r="A37" t="inlineStr">
        <is>
          <t>5406 - LOE - DELAY RENTAL</t>
        </is>
      </c>
      <c r="C37" s="38" t="n">
        <v>226288.03</v>
      </c>
      <c r="D37" s="38" t="n">
        <v>264631.7</v>
      </c>
      <c r="E37" s="38" t="n">
        <v>628290.0699999999</v>
      </c>
      <c r="F37" s="38" t="n">
        <v>709712.62</v>
      </c>
      <c r="G37" s="38" t="n">
        <v>747847.8100000001</v>
      </c>
      <c r="H37" s="38" t="n">
        <v>1001076.82</v>
      </c>
      <c r="I37" s="38" t="n">
        <v>714198.79</v>
      </c>
      <c r="J37" s="38" t="n">
        <v>1488230.16</v>
      </c>
      <c r="K37" s="38" t="n">
        <v>1275931.33</v>
      </c>
      <c r="L37" s="38" t="n">
        <v>1186766.5</v>
      </c>
      <c r="M37" s="38" t="n">
        <v>952382.12</v>
      </c>
      <c r="N37" s="38" t="n">
        <v>1120864.29</v>
      </c>
      <c r="O37" s="38" t="n">
        <v>10316220.25</v>
      </c>
      <c r="P37" s="38" t="n"/>
      <c r="Q37" s="38" t="n">
        <v>1039061.69</v>
      </c>
      <c r="R37" s="38" t="n">
        <v>1198134.83</v>
      </c>
      <c r="S37" s="38" t="n">
        <v>876571.73</v>
      </c>
      <c r="T37" s="38" t="n">
        <v>1238436.37</v>
      </c>
      <c r="U37" s="38" t="n">
        <v>1262091.97</v>
      </c>
      <c r="V37" s="38" t="n">
        <v>775476.54</v>
      </c>
      <c r="W37" s="38" t="n">
        <v>983388.35</v>
      </c>
      <c r="X37" s="38" t="n">
        <v>1105673.15</v>
      </c>
      <c r="Y37" s="38" t="n">
        <v>1034402.94</v>
      </c>
      <c r="Z37" s="38" t="n">
        <v>935859.29</v>
      </c>
      <c r="AA37" s="38" t="n">
        <v>913371.79</v>
      </c>
      <c r="AB37" s="38" t="n">
        <v>772741.2</v>
      </c>
      <c r="AC37" s="38" t="n">
        <v>12135209.86</v>
      </c>
      <c r="AD37" s="38" t="n"/>
      <c r="AE37" s="38" t="n">
        <v>663096.0600000001</v>
      </c>
      <c r="AF37" s="38" t="n">
        <v>755893.01</v>
      </c>
      <c r="AG37" s="38" t="n">
        <v>462783.01</v>
      </c>
      <c r="AH37" s="38" t="n">
        <v>651328.55</v>
      </c>
      <c r="AI37" s="38" t="n">
        <v>653218.29</v>
      </c>
      <c r="AJ37" s="38" t="n">
        <v>675514.5600000001</v>
      </c>
      <c r="AK37" s="38" t="n">
        <v>626218.88</v>
      </c>
      <c r="AL37" s="38" t="n">
        <v>804907.54</v>
      </c>
      <c r="AM37" s="38" t="n">
        <v>551792.6</v>
      </c>
      <c r="AN37" s="38" t="n">
        <v>535761.05</v>
      </c>
      <c r="AO37" s="38" t="n">
        <v>698849.62</v>
      </c>
      <c r="AP37" s="38" t="n">
        <v>320754.17</v>
      </c>
      <c r="AQ37" s="38" t="n">
        <v>7400117.34</v>
      </c>
      <c r="AR37" s="38" t="n"/>
      <c r="AS37" s="38" t="n">
        <v>357969.47</v>
      </c>
      <c r="AT37" s="38" t="n">
        <v>611086.27</v>
      </c>
      <c r="AU37" s="38" t="n">
        <v>430597.17</v>
      </c>
      <c r="AV37" s="38" t="n">
        <v>486442.87</v>
      </c>
      <c r="AW37" s="38" t="n">
        <v>309878.99</v>
      </c>
      <c r="AX37" s="38" t="n">
        <v>314295.73</v>
      </c>
      <c r="AY37" s="38" t="n">
        <v>325182.24</v>
      </c>
      <c r="AZ37" s="38" t="n">
        <v>277378.31</v>
      </c>
      <c r="BA37" s="38" t="n">
        <v>536177.39</v>
      </c>
      <c r="BB37" s="38" t="n">
        <v>284934.48</v>
      </c>
      <c r="BC37" s="38" t="n">
        <v>287421.48</v>
      </c>
      <c r="BD37" s="38" t="n">
        <v>238418.41</v>
      </c>
      <c r="BE37" s="38" t="n">
        <v>4459782.81</v>
      </c>
      <c r="BF37" s="38" t="n"/>
      <c r="BG37" s="38" t="n">
        <v>294421.81</v>
      </c>
      <c r="BH37" s="38" t="n">
        <v>327320.77</v>
      </c>
      <c r="BI37" s="38" t="n">
        <v>304346.69</v>
      </c>
      <c r="BJ37" s="38" t="n">
        <v>299198.71</v>
      </c>
      <c r="BK37" s="38" t="n">
        <v>415099.96</v>
      </c>
      <c r="BL37" s="38" t="n">
        <v>332605.8</v>
      </c>
      <c r="BM37" s="38" t="n">
        <v>341708.95</v>
      </c>
    </row>
    <row r="38">
      <c r="A38" t="inlineStr">
        <is>
          <t>5407 - LOE - ELEC LABOR, SVCS, &amp; MATL</t>
        </is>
      </c>
      <c r="C38" s="38" t="n">
        <v>201149.03</v>
      </c>
      <c r="D38" s="38" t="n">
        <v>258112.64</v>
      </c>
      <c r="E38" s="38" t="n">
        <v>472652.62</v>
      </c>
      <c r="F38" s="38" t="n">
        <v>535140.76</v>
      </c>
      <c r="G38" s="38" t="n">
        <v>544726.78</v>
      </c>
      <c r="H38" s="38" t="n">
        <v>653359.85</v>
      </c>
      <c r="I38" s="38" t="n">
        <v>608035.52</v>
      </c>
      <c r="J38" s="38" t="n">
        <v>1023802.88</v>
      </c>
      <c r="K38" s="38" t="n">
        <v>1117682.46</v>
      </c>
      <c r="L38" s="38" t="n">
        <v>1292844.66</v>
      </c>
      <c r="M38" s="38" t="n">
        <v>1180771.01</v>
      </c>
      <c r="N38" s="38" t="n">
        <v>1186039.09</v>
      </c>
      <c r="O38" s="38" t="n">
        <v>9074317.310000001</v>
      </c>
      <c r="P38" s="38" t="n"/>
      <c r="Q38" s="38" t="n">
        <v>1104188.11</v>
      </c>
      <c r="R38" s="38" t="n">
        <v>982409.48</v>
      </c>
      <c r="S38" s="38" t="n">
        <v>793095.4300000001</v>
      </c>
      <c r="T38" s="38" t="n">
        <v>1349472.15</v>
      </c>
      <c r="U38" s="38" t="n">
        <v>1097170.66</v>
      </c>
      <c r="V38" s="38" t="n">
        <v>779472.5600000001</v>
      </c>
      <c r="W38" s="38" t="n">
        <v>636168.84</v>
      </c>
      <c r="X38" s="38" t="n">
        <v>784592.51</v>
      </c>
      <c r="Y38" s="38" t="n">
        <v>550318.26</v>
      </c>
      <c r="Z38" s="38" t="n">
        <v>769947.58</v>
      </c>
      <c r="AA38" s="38" t="n">
        <v>877458.8100000001</v>
      </c>
      <c r="AB38" s="38" t="n">
        <v>623749.89</v>
      </c>
      <c r="AC38" s="38" t="n">
        <v>10348044.28</v>
      </c>
      <c r="AD38" s="38" t="n"/>
      <c r="AE38" s="38" t="n">
        <v>837312.96</v>
      </c>
      <c r="AF38" s="38" t="n">
        <v>641417.26</v>
      </c>
      <c r="AG38" s="38" t="n">
        <v>649951.97</v>
      </c>
      <c r="AH38" s="38" t="n">
        <v>451003.86</v>
      </c>
      <c r="AI38" s="38" t="n">
        <v>533968.64</v>
      </c>
      <c r="AJ38" s="38" t="n">
        <v>650264.02</v>
      </c>
      <c r="AK38" s="38" t="n">
        <v>458678.75</v>
      </c>
      <c r="AL38" s="38" t="n">
        <v>545391.01</v>
      </c>
      <c r="AM38" s="38" t="n">
        <v>633274.83</v>
      </c>
      <c r="AN38" s="38" t="n">
        <v>450136.45</v>
      </c>
      <c r="AO38" s="38" t="n">
        <v>387271.71</v>
      </c>
      <c r="AP38" s="38" t="n">
        <v>504569.47</v>
      </c>
      <c r="AQ38" s="38" t="n">
        <v>6743240.93</v>
      </c>
      <c r="AR38" s="38" t="n"/>
      <c r="AS38" s="38" t="n">
        <v>421071.81</v>
      </c>
      <c r="AT38" s="38" t="n">
        <v>561853.05</v>
      </c>
      <c r="AU38" s="38" t="n">
        <v>578992.9399999999</v>
      </c>
      <c r="AV38" s="38" t="n">
        <v>647271.28</v>
      </c>
      <c r="AW38" s="38" t="n">
        <v>397798.76</v>
      </c>
      <c r="AX38" s="38" t="n">
        <v>290080.42</v>
      </c>
      <c r="AY38" s="38" t="n">
        <v>259547.42</v>
      </c>
      <c r="AZ38" s="38" t="n">
        <v>292418.06</v>
      </c>
      <c r="BA38" s="38" t="n">
        <v>349199.25</v>
      </c>
      <c r="BB38" s="38" t="n">
        <v>277711.72</v>
      </c>
      <c r="BC38" s="38" t="n">
        <v>328363.17</v>
      </c>
      <c r="BD38" s="38" t="n">
        <v>326756.13</v>
      </c>
      <c r="BE38" s="38" t="n">
        <v>4731064.02</v>
      </c>
      <c r="BF38" s="38" t="n"/>
      <c r="BG38" s="38" t="n">
        <v>318481.85</v>
      </c>
      <c r="BH38" s="38" t="n">
        <v>426227.33</v>
      </c>
      <c r="BI38" s="38" t="n">
        <v>218927.81</v>
      </c>
      <c r="BJ38" s="38" t="n">
        <v>291044.44</v>
      </c>
      <c r="BK38" s="38" t="n">
        <v>265916.78</v>
      </c>
      <c r="BL38" s="38" t="n">
        <v>201165.71</v>
      </c>
      <c r="BM38" s="38" t="n">
        <v>194594.35</v>
      </c>
    </row>
    <row r="39">
      <c r="A39" t="inlineStr">
        <is>
          <t>5408 - LOE - EQUIPMENT RENTAL</t>
        </is>
      </c>
      <c r="C39" s="38" t="n">
        <v>161582.63</v>
      </c>
      <c r="D39" s="38" t="n">
        <v>309537.63</v>
      </c>
      <c r="E39" s="38" t="n">
        <v>530337.91</v>
      </c>
      <c r="F39" s="38" t="n">
        <v>515267.32</v>
      </c>
      <c r="G39" s="38" t="n">
        <v>753853.88</v>
      </c>
      <c r="H39" s="38" t="n">
        <v>1195205.47</v>
      </c>
      <c r="I39" s="38" t="n">
        <v>725106.0600000001</v>
      </c>
      <c r="J39" s="38" t="n">
        <v>1011872.45</v>
      </c>
      <c r="K39" s="38" t="n">
        <v>1016612.8</v>
      </c>
      <c r="L39" s="38" t="n">
        <v>1365960.8</v>
      </c>
      <c r="M39" s="38" t="n">
        <v>1523877.55</v>
      </c>
      <c r="N39" s="38" t="n">
        <v>1559703.23</v>
      </c>
      <c r="O39" s="38" t="n">
        <v>10668917.72</v>
      </c>
      <c r="P39" s="38" t="n"/>
      <c r="Q39" s="38" t="n">
        <v>1213251.65</v>
      </c>
      <c r="R39" s="38" t="n">
        <v>994180.17</v>
      </c>
      <c r="S39" s="38" t="n">
        <v>1392673.49</v>
      </c>
      <c r="T39" s="38" t="n">
        <v>1182494.96</v>
      </c>
      <c r="U39" s="38" t="n">
        <v>1021729.34</v>
      </c>
      <c r="V39" s="38" t="n">
        <v>807594.64</v>
      </c>
      <c r="W39" s="38" t="n">
        <v>1119267.41</v>
      </c>
      <c r="X39" s="38" t="n">
        <v>800925.92</v>
      </c>
      <c r="Y39" s="38" t="n">
        <v>831885.58</v>
      </c>
      <c r="Z39" s="38" t="n">
        <v>830948.99</v>
      </c>
      <c r="AA39" s="38" t="n">
        <v>1166778.57</v>
      </c>
      <c r="AB39" s="38" t="n">
        <v>899771.22</v>
      </c>
      <c r="AC39" s="38" t="n">
        <v>12261501.94</v>
      </c>
      <c r="AD39" s="38" t="n"/>
      <c r="AE39" s="38" t="n">
        <v>893857.54</v>
      </c>
      <c r="AF39" s="38" t="n">
        <v>541425.36</v>
      </c>
      <c r="AG39" s="38" t="n">
        <v>546353.08</v>
      </c>
      <c r="AH39" s="38" t="n">
        <v>560164.4399999999</v>
      </c>
      <c r="AI39" s="38" t="n">
        <v>749156.22</v>
      </c>
      <c r="AJ39" s="38" t="n">
        <v>610516.2</v>
      </c>
      <c r="AK39" s="38" t="n">
        <v>665674.41</v>
      </c>
      <c r="AL39" s="38" t="n">
        <v>669934.75</v>
      </c>
      <c r="AM39" s="38" t="n">
        <v>558620.73</v>
      </c>
      <c r="AN39" s="38" t="n">
        <v>607785.16</v>
      </c>
      <c r="AO39" s="38" t="n">
        <v>803851.1800000001</v>
      </c>
      <c r="AP39" s="38" t="n">
        <v>513107.98</v>
      </c>
      <c r="AQ39" s="38" t="n">
        <v>7720447.05</v>
      </c>
      <c r="AR39" s="38" t="n"/>
      <c r="AS39" s="38" t="n">
        <v>535750.64</v>
      </c>
      <c r="AT39" s="38" t="n">
        <v>516458.57</v>
      </c>
      <c r="AU39" s="38" t="n">
        <v>469466.21</v>
      </c>
      <c r="AV39" s="38" t="n">
        <v>630834.9</v>
      </c>
      <c r="AW39" s="38" t="n">
        <v>408698.57</v>
      </c>
      <c r="AX39" s="38" t="n">
        <v>355002.95</v>
      </c>
      <c r="AY39" s="38" t="n">
        <v>478837.7</v>
      </c>
      <c r="AZ39" s="38" t="n">
        <v>310716.35</v>
      </c>
      <c r="BA39" s="38" t="n">
        <v>580082.86</v>
      </c>
      <c r="BB39" s="38" t="n">
        <v>372679</v>
      </c>
      <c r="BC39" s="38" t="n">
        <v>258114.38</v>
      </c>
      <c r="BD39" s="38" t="n">
        <v>457072.99</v>
      </c>
      <c r="BE39" s="38" t="n">
        <v>5373715.14</v>
      </c>
      <c r="BF39" s="38" t="n"/>
      <c r="BG39" s="38" t="n">
        <v>366350.36</v>
      </c>
      <c r="BH39" s="38" t="n">
        <v>332296.44</v>
      </c>
      <c r="BI39" s="38" t="n">
        <v>375673.16</v>
      </c>
      <c r="BJ39" s="38" t="n">
        <v>477858.28</v>
      </c>
      <c r="BK39" s="38" t="n">
        <v>342998.37</v>
      </c>
      <c r="BL39" s="38" t="n">
        <v>333417.75</v>
      </c>
      <c r="BM39" s="38" t="n">
        <v>268398.98</v>
      </c>
    </row>
    <row r="40">
      <c r="A40" t="inlineStr">
        <is>
          <t>5409 - LOE - FOREMAN/SUPERVISION LAB.</t>
        </is>
      </c>
      <c r="C40" s="38" t="n">
        <v>74946.02</v>
      </c>
      <c r="D40" s="38" t="n">
        <v>114659.95</v>
      </c>
      <c r="E40" s="38" t="n">
        <v>283172.92</v>
      </c>
      <c r="F40" s="38" t="n">
        <v>204736.8</v>
      </c>
      <c r="G40" s="38" t="n">
        <v>246321.88</v>
      </c>
      <c r="H40" s="38" t="n">
        <v>386228.81</v>
      </c>
      <c r="I40" s="38" t="n">
        <v>364510.83</v>
      </c>
      <c r="J40" s="38" t="n">
        <v>472090.47</v>
      </c>
      <c r="K40" s="38" t="n">
        <v>409998.96</v>
      </c>
      <c r="L40" s="38" t="n">
        <v>530783.71</v>
      </c>
      <c r="M40" s="38" t="n">
        <v>478165.01</v>
      </c>
      <c r="N40" s="38" t="n">
        <v>288221.47</v>
      </c>
      <c r="O40" s="38" t="n">
        <v>3853836.82</v>
      </c>
      <c r="P40" s="38" t="n"/>
      <c r="Q40" s="38" t="n">
        <v>327945.6</v>
      </c>
      <c r="R40" s="38" t="n">
        <v>394382.16</v>
      </c>
      <c r="S40" s="38" t="n">
        <v>371192.11</v>
      </c>
      <c r="T40" s="38" t="n">
        <v>544050.4399999999</v>
      </c>
      <c r="U40" s="38" t="n">
        <v>303934.08</v>
      </c>
      <c r="V40" s="38" t="n">
        <v>306998.92</v>
      </c>
      <c r="W40" s="38" t="n">
        <v>355835.31</v>
      </c>
      <c r="X40" s="38" t="n">
        <v>299354.92</v>
      </c>
      <c r="Y40" s="38" t="n">
        <v>199250.01</v>
      </c>
      <c r="Z40" s="38" t="n">
        <v>314880.04</v>
      </c>
      <c r="AA40" s="38" t="n">
        <v>299780.87</v>
      </c>
      <c r="AB40" s="38" t="n">
        <v>299519.43</v>
      </c>
      <c r="AC40" s="38" t="n">
        <v>4017123.9</v>
      </c>
      <c r="AD40" s="38" t="n"/>
      <c r="AE40" s="38" t="n">
        <v>326507.4</v>
      </c>
      <c r="AF40" s="38" t="n">
        <v>242190.48</v>
      </c>
      <c r="AG40" s="38" t="n">
        <v>230456.49</v>
      </c>
      <c r="AH40" s="38" t="n">
        <v>229086.32</v>
      </c>
      <c r="AI40" s="38" t="n">
        <v>182475.46</v>
      </c>
      <c r="AJ40" s="38" t="n">
        <v>248497.02</v>
      </c>
      <c r="AK40" s="38" t="n">
        <v>308065.4</v>
      </c>
      <c r="AL40" s="38" t="n">
        <v>295381.04</v>
      </c>
      <c r="AM40" s="38" t="n">
        <v>149646.44</v>
      </c>
      <c r="AN40" s="38" t="n">
        <v>224463.07</v>
      </c>
      <c r="AO40" s="38" t="n">
        <v>206761.13</v>
      </c>
      <c r="AP40" s="38" t="n">
        <v>176200.8</v>
      </c>
      <c r="AQ40" s="38" t="n">
        <v>2819731.05</v>
      </c>
      <c r="AR40" s="38" t="n"/>
      <c r="AS40" s="38" t="n">
        <v>204225.57</v>
      </c>
      <c r="AT40" s="38" t="n">
        <v>155203.5</v>
      </c>
      <c r="AU40" s="38" t="n">
        <v>174774.82</v>
      </c>
      <c r="AV40" s="38" t="n">
        <v>254664.52</v>
      </c>
      <c r="AW40" s="38" t="n">
        <v>107726.19</v>
      </c>
      <c r="AX40" s="38" t="n">
        <v>135474.96</v>
      </c>
      <c r="AY40" s="38" t="n">
        <v>115859.32</v>
      </c>
      <c r="AZ40" s="38" t="n">
        <v>119603.48</v>
      </c>
      <c r="BA40" s="38" t="n">
        <v>184146.15</v>
      </c>
      <c r="BB40" s="38" t="n">
        <v>92384.53999999999</v>
      </c>
      <c r="BC40" s="38" t="n">
        <v>110978.85</v>
      </c>
      <c r="BD40" s="38" t="n">
        <v>118766.44</v>
      </c>
      <c r="BE40" s="38" t="n">
        <v>1773808.33</v>
      </c>
      <c r="BF40" s="38" t="n"/>
      <c r="BG40" s="38" t="n">
        <v>140401.17</v>
      </c>
      <c r="BH40" s="38" t="n">
        <v>96579.75999999999</v>
      </c>
      <c r="BI40" s="38" t="n">
        <v>111023.46</v>
      </c>
      <c r="BJ40" s="38" t="n">
        <v>128631.36</v>
      </c>
      <c r="BK40" s="38" t="n">
        <v>90550.06</v>
      </c>
      <c r="BL40" s="38" t="n">
        <v>81779.13</v>
      </c>
      <c r="BM40" s="38" t="n">
        <v>81330.89999999999</v>
      </c>
    </row>
    <row r="41">
      <c r="A41" t="inlineStr">
        <is>
          <t>5410 - LOE - FUEL &amp; POWER</t>
        </is>
      </c>
      <c r="C41" s="38" t="n">
        <v>230608.03</v>
      </c>
      <c r="D41" s="38" t="n">
        <v>312796.7</v>
      </c>
      <c r="E41" s="38" t="n">
        <v>593251.26</v>
      </c>
      <c r="F41" s="38" t="n">
        <v>587364.8100000001</v>
      </c>
      <c r="G41" s="38" t="n">
        <v>930424.22</v>
      </c>
      <c r="H41" s="38" t="n">
        <v>883237.97</v>
      </c>
      <c r="I41" s="38" t="n">
        <v>1614858.22</v>
      </c>
      <c r="J41" s="38" t="n">
        <v>1978638.35</v>
      </c>
      <c r="K41" s="38" t="n">
        <v>1236720.43</v>
      </c>
      <c r="L41" s="38" t="n">
        <v>1958788.64</v>
      </c>
      <c r="M41" s="38" t="n">
        <v>1086207.77</v>
      </c>
      <c r="N41" s="38" t="n">
        <v>1235299.61</v>
      </c>
      <c r="O41" s="38" t="n">
        <v>12648196.01</v>
      </c>
      <c r="P41" s="38" t="n"/>
      <c r="Q41" s="38" t="n">
        <v>1241418.92</v>
      </c>
      <c r="R41" s="38" t="n">
        <v>1093431.17</v>
      </c>
      <c r="S41" s="38" t="n">
        <v>1823359.86</v>
      </c>
      <c r="T41" s="38" t="n">
        <v>1662999.29</v>
      </c>
      <c r="U41" s="38" t="n">
        <v>1065676.99</v>
      </c>
      <c r="V41" s="38" t="n">
        <v>1297299.91</v>
      </c>
      <c r="W41" s="38" t="n">
        <v>1150964.8</v>
      </c>
      <c r="X41" s="38" t="n">
        <v>1138008.54</v>
      </c>
      <c r="Y41" s="38" t="n">
        <v>1201969.38</v>
      </c>
      <c r="Z41" s="38" t="n">
        <v>1016134.14</v>
      </c>
      <c r="AA41" s="38" t="n">
        <v>1298142.18</v>
      </c>
      <c r="AB41" s="38" t="n">
        <v>726027.4300000001</v>
      </c>
      <c r="AC41" s="38" t="n">
        <v>14715432.62</v>
      </c>
      <c r="AD41" s="38" t="n"/>
      <c r="AE41" s="38" t="n">
        <v>1296728.67</v>
      </c>
      <c r="AF41" s="38" t="n">
        <v>883406.28</v>
      </c>
      <c r="AG41" s="38" t="n">
        <v>695626.13</v>
      </c>
      <c r="AH41" s="38" t="n">
        <v>520077.36</v>
      </c>
      <c r="AI41" s="38" t="n">
        <v>845074.4300000001</v>
      </c>
      <c r="AJ41" s="38" t="n">
        <v>985583</v>
      </c>
      <c r="AK41" s="38" t="n">
        <v>716739.2</v>
      </c>
      <c r="AL41" s="38" t="n">
        <v>979816.23</v>
      </c>
      <c r="AM41" s="38" t="n">
        <v>615607.62</v>
      </c>
      <c r="AN41" s="38" t="n">
        <v>697317.54</v>
      </c>
      <c r="AO41" s="38" t="n">
        <v>991150.5600000001</v>
      </c>
      <c r="AP41" s="38" t="n">
        <v>662458.21</v>
      </c>
      <c r="AQ41" s="38" t="n">
        <v>9889585.24</v>
      </c>
      <c r="AR41" s="38" t="n"/>
      <c r="AS41" s="38" t="n">
        <v>443084.3</v>
      </c>
      <c r="AT41" s="38" t="n">
        <v>494043.53</v>
      </c>
      <c r="AU41" s="38" t="n">
        <v>758001.1899999999</v>
      </c>
      <c r="AV41" s="38" t="n">
        <v>675815.5</v>
      </c>
      <c r="AW41" s="38" t="n">
        <v>516245.08</v>
      </c>
      <c r="AX41" s="38" t="n">
        <v>482422.5</v>
      </c>
      <c r="AY41" s="38" t="n">
        <v>360862.78</v>
      </c>
      <c r="AZ41" s="38" t="n">
        <v>332814.37</v>
      </c>
      <c r="BA41" s="38" t="n">
        <v>720821.13</v>
      </c>
      <c r="BB41" s="38" t="n">
        <v>390366.03</v>
      </c>
      <c r="BC41" s="38" t="n">
        <v>392491.12</v>
      </c>
      <c r="BD41" s="38" t="n">
        <v>553578.38</v>
      </c>
      <c r="BE41" s="38" t="n">
        <v>6120545.9</v>
      </c>
      <c r="BF41" s="38" t="n"/>
      <c r="BG41" s="38" t="n">
        <v>391739.35</v>
      </c>
      <c r="BH41" s="38" t="n">
        <v>610440.83</v>
      </c>
      <c r="BI41" s="38" t="n">
        <v>521437.77</v>
      </c>
      <c r="BJ41" s="38" t="n">
        <v>378804.83</v>
      </c>
      <c r="BK41" s="38" t="n">
        <v>519301.88</v>
      </c>
      <c r="BL41" s="38" t="n">
        <v>506691.44</v>
      </c>
      <c r="BM41" s="38" t="n">
        <v>471305.07</v>
      </c>
    </row>
    <row r="42">
      <c r="A42" t="inlineStr">
        <is>
          <t>5411 - LOE - HAULING &amp; TRANSPORTATION</t>
        </is>
      </c>
      <c r="C42" s="38" t="n">
        <v>104581.55</v>
      </c>
      <c r="D42" s="38" t="n">
        <v>192601.94</v>
      </c>
      <c r="E42" s="38" t="n">
        <v>233068.52</v>
      </c>
      <c r="F42" s="38" t="n">
        <v>322350.33</v>
      </c>
      <c r="G42" s="38" t="n">
        <v>230223.07</v>
      </c>
      <c r="H42" s="38" t="n">
        <v>526451.5</v>
      </c>
      <c r="I42" s="38" t="n">
        <v>373473.83</v>
      </c>
      <c r="J42" s="38" t="n">
        <v>792841.16</v>
      </c>
      <c r="K42" s="38" t="n">
        <v>642895.37</v>
      </c>
      <c r="L42" s="38" t="n">
        <v>865964.71</v>
      </c>
      <c r="M42" s="38" t="n">
        <v>579970.73</v>
      </c>
      <c r="N42" s="38" t="n">
        <v>579497.5</v>
      </c>
      <c r="O42" s="38" t="n">
        <v>5443920.22</v>
      </c>
      <c r="P42" s="38" t="n"/>
      <c r="Q42" s="38" t="n">
        <v>605487.76</v>
      </c>
      <c r="R42" s="38" t="n">
        <v>537876.54</v>
      </c>
      <c r="S42" s="38" t="n">
        <v>443705.33</v>
      </c>
      <c r="T42" s="38" t="n">
        <v>754807.1899999999</v>
      </c>
      <c r="U42" s="38" t="n">
        <v>485881.01</v>
      </c>
      <c r="V42" s="38" t="n">
        <v>389309.9</v>
      </c>
      <c r="W42" s="38" t="n">
        <v>317448.77</v>
      </c>
      <c r="X42" s="38" t="n">
        <v>601958.49</v>
      </c>
      <c r="Y42" s="38" t="n">
        <v>396055.2</v>
      </c>
      <c r="Z42" s="38" t="n">
        <v>459792.08</v>
      </c>
      <c r="AA42" s="38" t="n">
        <v>559089.4</v>
      </c>
      <c r="AB42" s="38" t="n">
        <v>371073.5</v>
      </c>
      <c r="AC42" s="38" t="n">
        <v>5922485.16</v>
      </c>
      <c r="AD42" s="38" t="n"/>
      <c r="AE42" s="38" t="n">
        <v>438010.18</v>
      </c>
      <c r="AF42" s="38" t="n">
        <v>425242</v>
      </c>
      <c r="AG42" s="38" t="n">
        <v>392767.19</v>
      </c>
      <c r="AH42" s="38" t="n">
        <v>268515.93</v>
      </c>
      <c r="AI42" s="38" t="n">
        <v>369362.52</v>
      </c>
      <c r="AJ42" s="38" t="n">
        <v>333019.2</v>
      </c>
      <c r="AK42" s="38" t="n">
        <v>401264.17</v>
      </c>
      <c r="AL42" s="38" t="n">
        <v>385963.39</v>
      </c>
      <c r="AM42" s="38" t="n">
        <v>330014.44</v>
      </c>
      <c r="AN42" s="38" t="n">
        <v>252626.04</v>
      </c>
      <c r="AO42" s="38" t="n">
        <v>389689.36</v>
      </c>
      <c r="AP42" s="38" t="n">
        <v>242347.04</v>
      </c>
      <c r="AQ42" s="38" t="n">
        <v>4228821.47</v>
      </c>
      <c r="AR42" s="38" t="n"/>
      <c r="AS42" s="38" t="n">
        <v>232391.16</v>
      </c>
      <c r="AT42" s="38" t="n">
        <v>221609.67</v>
      </c>
      <c r="AU42" s="38" t="n">
        <v>212349.81</v>
      </c>
      <c r="AV42" s="38" t="n">
        <v>393024.54</v>
      </c>
      <c r="AW42" s="38" t="n">
        <v>200488.26</v>
      </c>
      <c r="AX42" s="38" t="n">
        <v>187018.97</v>
      </c>
      <c r="AY42" s="38" t="n">
        <v>169435.97</v>
      </c>
      <c r="AZ42" s="38" t="n">
        <v>209256.96</v>
      </c>
      <c r="BA42" s="38" t="n">
        <v>220346.31</v>
      </c>
      <c r="BB42" s="38" t="n">
        <v>143662.24</v>
      </c>
      <c r="BC42" s="38" t="n">
        <v>197954.31</v>
      </c>
      <c r="BD42" s="38" t="n">
        <v>167917.92</v>
      </c>
      <c r="BE42" s="38" t="n">
        <v>2555456.12</v>
      </c>
      <c r="BF42" s="38" t="n"/>
      <c r="BG42" s="38" t="n">
        <v>207598.29</v>
      </c>
      <c r="BH42" s="38" t="n">
        <v>144778.39</v>
      </c>
      <c r="BI42" s="38" t="n">
        <v>193204.55</v>
      </c>
      <c r="BJ42" s="38" t="n">
        <v>176822.22</v>
      </c>
      <c r="BK42" s="38" t="n">
        <v>217585.18</v>
      </c>
      <c r="BL42" s="38" t="n">
        <v>201944.32</v>
      </c>
      <c r="BM42" s="38" t="n">
        <v>175091.1</v>
      </c>
    </row>
    <row r="43">
      <c r="A43" t="inlineStr">
        <is>
          <t>5412 - LOE - HOT OIL TREATMENT</t>
        </is>
      </c>
      <c r="C43" s="38" t="n">
        <v>47783.72</v>
      </c>
      <c r="D43" s="38" t="n">
        <v>120972.52</v>
      </c>
      <c r="E43" s="38" t="n">
        <v>181587.21</v>
      </c>
      <c r="F43" s="38" t="n">
        <v>265899.93</v>
      </c>
      <c r="G43" s="38" t="n">
        <v>270802.18</v>
      </c>
      <c r="H43" s="38" t="n">
        <v>350891.5</v>
      </c>
      <c r="I43" s="38" t="n">
        <v>275873.08</v>
      </c>
      <c r="J43" s="38" t="n">
        <v>556129.95</v>
      </c>
      <c r="K43" s="38" t="n">
        <v>396024.1</v>
      </c>
      <c r="L43" s="38" t="n">
        <v>625139.24</v>
      </c>
      <c r="M43" s="38" t="n">
        <v>325566.77</v>
      </c>
      <c r="N43" s="38" t="n">
        <v>434198.2</v>
      </c>
      <c r="O43" s="38" t="n">
        <v>3850868.41</v>
      </c>
      <c r="P43" s="38" t="n"/>
      <c r="Q43" s="38" t="n">
        <v>510240</v>
      </c>
      <c r="R43" s="38" t="n">
        <v>338724.64</v>
      </c>
      <c r="S43" s="38" t="n">
        <v>427997.95</v>
      </c>
      <c r="T43" s="38" t="n">
        <v>534895.6800000001</v>
      </c>
      <c r="U43" s="38" t="n">
        <v>314357.26</v>
      </c>
      <c r="V43" s="38" t="n">
        <v>332347.25</v>
      </c>
      <c r="W43" s="38" t="n">
        <v>368162.73</v>
      </c>
      <c r="X43" s="38" t="n">
        <v>407038.34</v>
      </c>
      <c r="Y43" s="38" t="n">
        <v>233392.28</v>
      </c>
      <c r="Z43" s="38" t="n">
        <v>314542.57</v>
      </c>
      <c r="AA43" s="38" t="n">
        <v>329492.33</v>
      </c>
      <c r="AB43" s="38" t="n">
        <v>266581.62</v>
      </c>
      <c r="AC43" s="38" t="n">
        <v>4377772.65</v>
      </c>
      <c r="AD43" s="38" t="n"/>
      <c r="AE43" s="38" t="n">
        <v>259651.25</v>
      </c>
      <c r="AF43" s="38" t="n">
        <v>250688.17</v>
      </c>
      <c r="AG43" s="38" t="n">
        <v>237357.34</v>
      </c>
      <c r="AH43" s="38" t="n">
        <v>226256.37</v>
      </c>
      <c r="AI43" s="38" t="n">
        <v>325051.02</v>
      </c>
      <c r="AJ43" s="38" t="n">
        <v>192002.58</v>
      </c>
      <c r="AK43" s="38" t="n">
        <v>245940.41</v>
      </c>
      <c r="AL43" s="38" t="n">
        <v>301094.9</v>
      </c>
      <c r="AM43" s="38" t="n">
        <v>163503.86</v>
      </c>
      <c r="AN43" s="38" t="n">
        <v>199619.3</v>
      </c>
      <c r="AO43" s="38" t="n">
        <v>189951.88</v>
      </c>
      <c r="AP43" s="38" t="n">
        <v>178395.16</v>
      </c>
      <c r="AQ43" s="38" t="n">
        <v>2769512.25</v>
      </c>
      <c r="AR43" s="38" t="n"/>
      <c r="AS43" s="38" t="n">
        <v>209216.44</v>
      </c>
      <c r="AT43" s="38" t="n">
        <v>220753.5</v>
      </c>
      <c r="AU43" s="38" t="n">
        <v>163638.5</v>
      </c>
      <c r="AV43" s="38" t="n">
        <v>209915.45</v>
      </c>
      <c r="AW43" s="38" t="n">
        <v>185625.66</v>
      </c>
      <c r="AX43" s="38" t="n">
        <v>141125.39</v>
      </c>
      <c r="AY43" s="38" t="n">
        <v>138367.54</v>
      </c>
      <c r="AZ43" s="38" t="n">
        <v>119549.99</v>
      </c>
      <c r="BA43" s="38" t="n">
        <v>144119.35</v>
      </c>
      <c r="BB43" s="38" t="n">
        <v>111525.11</v>
      </c>
      <c r="BC43" s="38" t="n">
        <v>153854.71</v>
      </c>
      <c r="BD43" s="38" t="n">
        <v>118814.14</v>
      </c>
      <c r="BE43" s="38" t="n">
        <v>1916505.79</v>
      </c>
      <c r="BF43" s="38" t="n"/>
      <c r="BG43" s="38" t="n">
        <v>104390.81</v>
      </c>
      <c r="BH43" s="38" t="n">
        <v>182839.81</v>
      </c>
      <c r="BI43" s="38" t="n">
        <v>108712</v>
      </c>
      <c r="BJ43" s="38" t="n">
        <v>152348.69</v>
      </c>
      <c r="BK43" s="38" t="n">
        <v>129654.58</v>
      </c>
      <c r="BL43" s="38" t="n">
        <v>121659.64</v>
      </c>
      <c r="BM43" s="38" t="n">
        <v>119094.98</v>
      </c>
    </row>
    <row r="44">
      <c r="A44" t="inlineStr">
        <is>
          <t>5413 - LOE - INSURANCE &amp; BONDS</t>
        </is>
      </c>
      <c r="C44" s="38" t="n">
        <v>150815.79</v>
      </c>
      <c r="D44" s="38" t="n">
        <v>264865.21</v>
      </c>
      <c r="E44" s="38" t="n">
        <v>612485.89</v>
      </c>
      <c r="F44" s="38" t="n">
        <v>414353.47</v>
      </c>
      <c r="G44" s="38" t="n">
        <v>423727.37</v>
      </c>
      <c r="H44" s="38" t="n">
        <v>1062409.25</v>
      </c>
      <c r="I44" s="38" t="n">
        <v>875037.29</v>
      </c>
      <c r="J44" s="38" t="n">
        <v>1005086.27</v>
      </c>
      <c r="K44" s="38" t="n">
        <v>1123230.69</v>
      </c>
      <c r="L44" s="38" t="n">
        <v>1044553.47</v>
      </c>
      <c r="M44" s="38" t="n">
        <v>845397.4399999999</v>
      </c>
      <c r="N44" s="38" t="n">
        <v>1200892.53</v>
      </c>
      <c r="O44" s="38" t="n">
        <v>9022854.66</v>
      </c>
      <c r="P44" s="38" t="n"/>
      <c r="Q44" s="38" t="n">
        <v>1152825.51</v>
      </c>
      <c r="R44" s="38" t="n">
        <v>984710.99</v>
      </c>
      <c r="S44" s="38" t="n">
        <v>933754.96</v>
      </c>
      <c r="T44" s="38" t="n">
        <v>866140.25</v>
      </c>
      <c r="U44" s="38" t="n">
        <v>1071844.63</v>
      </c>
      <c r="V44" s="38" t="n">
        <v>841097.13</v>
      </c>
      <c r="W44" s="38" t="n">
        <v>820662.33</v>
      </c>
      <c r="X44" s="38" t="n">
        <v>1089831.44</v>
      </c>
      <c r="Y44" s="38" t="n">
        <v>857363.46</v>
      </c>
      <c r="Z44" s="38" t="n">
        <v>865842.28</v>
      </c>
      <c r="AA44" s="38" t="n">
        <v>740951.28</v>
      </c>
      <c r="AB44" s="38" t="n">
        <v>753301.16</v>
      </c>
      <c r="AC44" s="38" t="n">
        <v>10978325.43</v>
      </c>
      <c r="AD44" s="38" t="n"/>
      <c r="AE44" s="38" t="n">
        <v>986969.29</v>
      </c>
      <c r="AF44" s="38" t="n">
        <v>585377.5699999999</v>
      </c>
      <c r="AG44" s="38" t="n">
        <v>662826.8</v>
      </c>
      <c r="AH44" s="38" t="n">
        <v>599600.22</v>
      </c>
      <c r="AI44" s="38" t="n">
        <v>591484.76</v>
      </c>
      <c r="AJ44" s="38" t="n">
        <v>422600.21</v>
      </c>
      <c r="AK44" s="38" t="n">
        <v>563743.99</v>
      </c>
      <c r="AL44" s="38" t="n">
        <v>535889.85</v>
      </c>
      <c r="AM44" s="38" t="n">
        <v>525662.97</v>
      </c>
      <c r="AN44" s="38" t="n">
        <v>553578.8</v>
      </c>
      <c r="AO44" s="38" t="n">
        <v>526017.5</v>
      </c>
      <c r="AP44" s="38" t="n">
        <v>363485.26</v>
      </c>
      <c r="AQ44" s="38" t="n">
        <v>6917237.23</v>
      </c>
      <c r="AR44" s="38" t="n"/>
      <c r="AS44" s="38" t="n">
        <v>503235.62</v>
      </c>
      <c r="AT44" s="38" t="n">
        <v>453432.68</v>
      </c>
      <c r="AU44" s="38" t="n">
        <v>344693.73</v>
      </c>
      <c r="AV44" s="38" t="n">
        <v>738928.23</v>
      </c>
      <c r="AW44" s="38" t="n">
        <v>297749.46</v>
      </c>
      <c r="AX44" s="38" t="n">
        <v>238345.53</v>
      </c>
      <c r="AY44" s="38" t="n">
        <v>257305.53</v>
      </c>
      <c r="AZ44" s="38" t="n">
        <v>275589.6</v>
      </c>
      <c r="BA44" s="38" t="n">
        <v>327590.52</v>
      </c>
      <c r="BB44" s="38" t="n">
        <v>188772.92</v>
      </c>
      <c r="BC44" s="38" t="n">
        <v>346529.09</v>
      </c>
      <c r="BD44" s="38" t="n">
        <v>327915.9</v>
      </c>
      <c r="BE44" s="38" t="n">
        <v>4300088.82</v>
      </c>
      <c r="BF44" s="38" t="n"/>
      <c r="BG44" s="38" t="n">
        <v>296516.47</v>
      </c>
      <c r="BH44" s="38" t="n">
        <v>458857.48</v>
      </c>
      <c r="BI44" s="38" t="n">
        <v>284791.81</v>
      </c>
      <c r="BJ44" s="38" t="n">
        <v>309434.27</v>
      </c>
      <c r="BK44" s="38" t="n">
        <v>258764.82</v>
      </c>
      <c r="BL44" s="38" t="n">
        <v>354870.4</v>
      </c>
      <c r="BM44" s="38" t="n">
        <v>293772.76</v>
      </c>
    </row>
    <row r="45">
      <c r="A45" t="inlineStr">
        <is>
          <t>5414 - LOE - LOCATION &amp; ROADS</t>
        </is>
      </c>
      <c r="C45" s="38" t="n">
        <v>203981</v>
      </c>
      <c r="D45" s="38" t="n">
        <v>515469.13</v>
      </c>
      <c r="E45" s="38" t="n">
        <v>604205.67</v>
      </c>
      <c r="F45" s="38" t="n">
        <v>677967.26</v>
      </c>
      <c r="G45" s="38" t="n">
        <v>819218.64</v>
      </c>
      <c r="H45" s="38" t="n">
        <v>1437726.66</v>
      </c>
      <c r="I45" s="38" t="n">
        <v>958965.04</v>
      </c>
      <c r="J45" s="38" t="n">
        <v>2051552.31</v>
      </c>
      <c r="K45" s="38" t="n">
        <v>960965.9399999999</v>
      </c>
      <c r="L45" s="38" t="n">
        <v>2261686.31</v>
      </c>
      <c r="M45" s="38" t="n">
        <v>1247614.41</v>
      </c>
      <c r="N45" s="38" t="n">
        <v>1372219.42</v>
      </c>
      <c r="O45" s="38" t="n">
        <v>13111571.8</v>
      </c>
      <c r="P45" s="38" t="n"/>
      <c r="Q45" s="38" t="n">
        <v>1949994.65</v>
      </c>
      <c r="R45" s="38" t="n">
        <v>1418502.81</v>
      </c>
      <c r="S45" s="38" t="n">
        <v>1502070.14</v>
      </c>
      <c r="T45" s="38" t="n">
        <v>1491643.49</v>
      </c>
      <c r="U45" s="38" t="n">
        <v>1830250.26</v>
      </c>
      <c r="V45" s="38" t="n">
        <v>1005600.03</v>
      </c>
      <c r="W45" s="38" t="n">
        <v>1153606.55</v>
      </c>
      <c r="X45" s="38" t="n">
        <v>1454274.4</v>
      </c>
      <c r="Y45" s="38" t="n">
        <v>1150187.17</v>
      </c>
      <c r="Z45" s="38" t="n">
        <v>942418.64</v>
      </c>
      <c r="AA45" s="38" t="n">
        <v>988599.6</v>
      </c>
      <c r="AB45" s="38" t="n">
        <v>1041216.45</v>
      </c>
      <c r="AC45" s="38" t="n">
        <v>15928364.18</v>
      </c>
      <c r="AD45" s="38" t="n"/>
      <c r="AE45" s="38" t="n">
        <v>1384781.97</v>
      </c>
      <c r="AF45" s="38" t="n">
        <v>877700.84</v>
      </c>
      <c r="AG45" s="38" t="n">
        <v>1114725.88</v>
      </c>
      <c r="AH45" s="38" t="n">
        <v>527727.16</v>
      </c>
      <c r="AI45" s="38" t="n">
        <v>846743.86</v>
      </c>
      <c r="AJ45" s="38" t="n">
        <v>733414.13</v>
      </c>
      <c r="AK45" s="38" t="n">
        <v>962169.73</v>
      </c>
      <c r="AL45" s="38" t="n">
        <v>1040649.58</v>
      </c>
      <c r="AM45" s="38" t="n">
        <v>907715.1</v>
      </c>
      <c r="AN45" s="38" t="n">
        <v>522932.98</v>
      </c>
      <c r="AO45" s="38" t="n">
        <v>688647.55</v>
      </c>
      <c r="AP45" s="38" t="n">
        <v>454339.04</v>
      </c>
      <c r="AQ45" s="38" t="n">
        <v>10061547.82</v>
      </c>
      <c r="AR45" s="38" t="n"/>
      <c r="AS45" s="38" t="n">
        <v>720212.78</v>
      </c>
      <c r="AT45" s="38" t="n">
        <v>589069.9399999999</v>
      </c>
      <c r="AU45" s="38" t="n">
        <v>889594.33</v>
      </c>
      <c r="AV45" s="38" t="n">
        <v>1089122.76</v>
      </c>
      <c r="AW45" s="38" t="n">
        <v>635885.1899999999</v>
      </c>
      <c r="AX45" s="38" t="n">
        <v>500590.15</v>
      </c>
      <c r="AY45" s="38" t="n">
        <v>572434.36</v>
      </c>
      <c r="AZ45" s="38" t="n">
        <v>429646.32</v>
      </c>
      <c r="BA45" s="38" t="n">
        <v>724141.45</v>
      </c>
      <c r="BB45" s="38" t="n">
        <v>276243.46</v>
      </c>
      <c r="BC45" s="38" t="n">
        <v>444457.32</v>
      </c>
      <c r="BD45" s="38" t="n">
        <v>434368.72</v>
      </c>
      <c r="BE45" s="38" t="n">
        <v>7305766.78</v>
      </c>
      <c r="BF45" s="38" t="n"/>
      <c r="BG45" s="38" t="n">
        <v>568354.11</v>
      </c>
      <c r="BH45" s="38" t="n">
        <v>430013.82</v>
      </c>
      <c r="BI45" s="38" t="n">
        <v>538061.91</v>
      </c>
      <c r="BJ45" s="38" t="n">
        <v>439078.79</v>
      </c>
      <c r="BK45" s="38" t="n">
        <v>611188.15</v>
      </c>
      <c r="BL45" s="38" t="n">
        <v>545576.42</v>
      </c>
      <c r="BM45" s="38" t="n">
        <v>345367.62</v>
      </c>
    </row>
    <row r="46">
      <c r="A46" t="inlineStr">
        <is>
          <t>5415 - LOE - ADMINISTRATIVE OVERHEAD</t>
        </is>
      </c>
      <c r="C46" s="38" t="n">
        <v>93734.61</v>
      </c>
      <c r="D46" s="38" t="n">
        <v>161512.03</v>
      </c>
      <c r="E46" s="38" t="n">
        <v>382694.29</v>
      </c>
      <c r="F46" s="38" t="n">
        <v>414966</v>
      </c>
      <c r="G46" s="38" t="n">
        <v>279243.8</v>
      </c>
      <c r="H46" s="38" t="n">
        <v>391864.05</v>
      </c>
      <c r="I46" s="38" t="n">
        <v>454918.66</v>
      </c>
      <c r="J46" s="38" t="n">
        <v>679607.67</v>
      </c>
      <c r="K46" s="38" t="n">
        <v>423436.22</v>
      </c>
      <c r="L46" s="38" t="n">
        <v>797570.13</v>
      </c>
      <c r="M46" s="38" t="n">
        <v>496439.86</v>
      </c>
      <c r="N46" s="38" t="n">
        <v>842528.36</v>
      </c>
      <c r="O46" s="38" t="n">
        <v>5418515.68</v>
      </c>
      <c r="P46" s="38" t="n"/>
      <c r="Q46" s="38" t="n">
        <v>832641.61</v>
      </c>
      <c r="R46" s="38" t="n">
        <v>381485.12</v>
      </c>
      <c r="S46" s="38" t="n">
        <v>642433.6899999999</v>
      </c>
      <c r="T46" s="38" t="n">
        <v>802736.33</v>
      </c>
      <c r="U46" s="38" t="n">
        <v>797503.7</v>
      </c>
      <c r="V46" s="38" t="n">
        <v>502824.8</v>
      </c>
      <c r="W46" s="38" t="n">
        <v>475505.69</v>
      </c>
      <c r="X46" s="38" t="n">
        <v>746304.11</v>
      </c>
      <c r="Y46" s="38" t="n">
        <v>419888.73</v>
      </c>
      <c r="Z46" s="38" t="n">
        <v>352750.77</v>
      </c>
      <c r="AA46" s="38" t="n">
        <v>593701.72</v>
      </c>
      <c r="AB46" s="38" t="n">
        <v>278181.72</v>
      </c>
      <c r="AC46" s="38" t="n">
        <v>6825958</v>
      </c>
      <c r="AD46" s="38" t="n"/>
      <c r="AE46" s="38" t="n">
        <v>432470.48</v>
      </c>
      <c r="AF46" s="38" t="n">
        <v>327128.52</v>
      </c>
      <c r="AG46" s="38" t="n">
        <v>406170.25</v>
      </c>
      <c r="AH46" s="38" t="n">
        <v>369605.63</v>
      </c>
      <c r="AI46" s="38" t="n">
        <v>334823.2</v>
      </c>
      <c r="AJ46" s="38" t="n">
        <v>384191.99</v>
      </c>
      <c r="AK46" s="38" t="n">
        <v>416686.12</v>
      </c>
      <c r="AL46" s="38" t="n">
        <v>481932.28</v>
      </c>
      <c r="AM46" s="38" t="n">
        <v>378371.68</v>
      </c>
      <c r="AN46" s="38" t="n">
        <v>376568.27</v>
      </c>
      <c r="AO46" s="38" t="n">
        <v>275274.67</v>
      </c>
      <c r="AP46" s="38" t="n">
        <v>239798.37</v>
      </c>
      <c r="AQ46" s="38" t="n">
        <v>4423021.46</v>
      </c>
      <c r="AR46" s="38" t="n"/>
      <c r="AS46" s="38" t="n">
        <v>260300.98</v>
      </c>
      <c r="AT46" s="38" t="n">
        <v>211620.97</v>
      </c>
      <c r="AU46" s="38" t="n">
        <v>298637.53</v>
      </c>
      <c r="AV46" s="38" t="n">
        <v>260817.96</v>
      </c>
      <c r="AW46" s="38" t="n">
        <v>238431.59</v>
      </c>
      <c r="AX46" s="38" t="n">
        <v>143998.3</v>
      </c>
      <c r="AY46" s="38" t="n">
        <v>234219.47</v>
      </c>
      <c r="AZ46" s="38" t="n">
        <v>240381.21</v>
      </c>
      <c r="BA46" s="38" t="n">
        <v>221530.45</v>
      </c>
      <c r="BB46" s="38" t="n">
        <v>128222.19</v>
      </c>
      <c r="BC46" s="38" t="n">
        <v>183975.18</v>
      </c>
      <c r="BD46" s="38" t="n">
        <v>151109.5</v>
      </c>
      <c r="BE46" s="38" t="n">
        <v>2573245.34</v>
      </c>
      <c r="BF46" s="38" t="n"/>
      <c r="BG46" s="38" t="n">
        <v>218148.25</v>
      </c>
      <c r="BH46" s="38" t="n">
        <v>184255.17</v>
      </c>
      <c r="BI46" s="38" t="n">
        <v>222838.74</v>
      </c>
      <c r="BJ46" s="38" t="n">
        <v>209200.47</v>
      </c>
      <c r="BK46" s="38" t="n">
        <v>237398.95</v>
      </c>
      <c r="BL46" s="38" t="n">
        <v>173142.97</v>
      </c>
      <c r="BM46" s="38" t="n">
        <v>173622.4</v>
      </c>
    </row>
    <row r="47">
      <c r="A47" t="inlineStr">
        <is>
          <t>5416 - LOE - NON-OPERATED WELLS</t>
        </is>
      </c>
      <c r="C47" s="38" t="n">
        <v>72498.28999999999</v>
      </c>
      <c r="D47" s="38" t="n">
        <v>102865.26</v>
      </c>
      <c r="E47" s="38" t="n">
        <v>332152.89</v>
      </c>
      <c r="F47" s="38" t="n">
        <v>207070.36</v>
      </c>
      <c r="G47" s="38" t="n">
        <v>341338.35</v>
      </c>
      <c r="H47" s="38" t="n">
        <v>507054.02</v>
      </c>
      <c r="I47" s="38" t="n">
        <v>344337.47</v>
      </c>
      <c r="J47" s="38" t="n">
        <v>589549.58</v>
      </c>
      <c r="K47" s="38" t="n">
        <v>540762.88</v>
      </c>
      <c r="L47" s="38" t="n">
        <v>559254.4</v>
      </c>
      <c r="M47" s="38" t="n">
        <v>673244.75</v>
      </c>
      <c r="N47" s="38" t="n">
        <v>402420.05</v>
      </c>
      <c r="O47" s="38" t="n">
        <v>4672548.28</v>
      </c>
      <c r="P47" s="38" t="n"/>
      <c r="Q47" s="38" t="n">
        <v>467808.03</v>
      </c>
      <c r="R47" s="38" t="n">
        <v>367799.2</v>
      </c>
      <c r="S47" s="38" t="n">
        <v>506559.42</v>
      </c>
      <c r="T47" s="38" t="n">
        <v>586454.1</v>
      </c>
      <c r="U47" s="38" t="n">
        <v>564791.54</v>
      </c>
      <c r="V47" s="38" t="n">
        <v>388442.81</v>
      </c>
      <c r="W47" s="38" t="n">
        <v>491951.92</v>
      </c>
      <c r="X47" s="38" t="n">
        <v>442217.66</v>
      </c>
      <c r="Y47" s="38" t="n">
        <v>357041.49</v>
      </c>
      <c r="Z47" s="38" t="n">
        <v>348626.84</v>
      </c>
      <c r="AA47" s="38" t="n">
        <v>471236.89</v>
      </c>
      <c r="AB47" s="38" t="n">
        <v>210709.76</v>
      </c>
      <c r="AC47" s="38" t="n">
        <v>5203639.64</v>
      </c>
      <c r="AD47" s="38" t="n"/>
      <c r="AE47" s="38" t="n">
        <v>292712.02</v>
      </c>
      <c r="AF47" s="38" t="n">
        <v>402374.32</v>
      </c>
      <c r="AG47" s="38" t="n">
        <v>238356.14</v>
      </c>
      <c r="AH47" s="38" t="n">
        <v>291472.51</v>
      </c>
      <c r="AI47" s="38" t="n">
        <v>250296.1</v>
      </c>
      <c r="AJ47" s="38" t="n">
        <v>284741.25</v>
      </c>
      <c r="AK47" s="38" t="n">
        <v>301609.13</v>
      </c>
      <c r="AL47" s="38" t="n">
        <v>282267.6</v>
      </c>
      <c r="AM47" s="38" t="n">
        <v>284031.31</v>
      </c>
      <c r="AN47" s="38" t="n">
        <v>299643.22</v>
      </c>
      <c r="AO47" s="38" t="n">
        <v>340167.15</v>
      </c>
      <c r="AP47" s="38" t="n">
        <v>167632.38</v>
      </c>
      <c r="AQ47" s="38" t="n">
        <v>3435303.12</v>
      </c>
      <c r="AR47" s="38" t="n"/>
      <c r="AS47" s="38" t="n">
        <v>244839.73</v>
      </c>
      <c r="AT47" s="38" t="n">
        <v>162620.95</v>
      </c>
      <c r="AU47" s="38" t="n">
        <v>270880.48</v>
      </c>
      <c r="AV47" s="38" t="n">
        <v>240595.87</v>
      </c>
      <c r="AW47" s="38" t="n">
        <v>162857.56</v>
      </c>
      <c r="AX47" s="38" t="n">
        <v>167476.7</v>
      </c>
      <c r="AY47" s="38" t="n">
        <v>143113.42</v>
      </c>
      <c r="AZ47" s="38" t="n">
        <v>166971.39</v>
      </c>
      <c r="BA47" s="38" t="n">
        <v>233175.54</v>
      </c>
      <c r="BB47" s="38" t="n">
        <v>152670.48</v>
      </c>
      <c r="BC47" s="38" t="n">
        <v>178800.73</v>
      </c>
      <c r="BD47" s="38" t="n">
        <v>180426.28</v>
      </c>
      <c r="BE47" s="38" t="n">
        <v>2304429.12</v>
      </c>
      <c r="BF47" s="38" t="n"/>
      <c r="BG47" s="38" t="n">
        <v>176434.89</v>
      </c>
      <c r="BH47" s="38" t="n">
        <v>166360.6</v>
      </c>
      <c r="BI47" s="38" t="n">
        <v>157702.29</v>
      </c>
      <c r="BJ47" s="38" t="n">
        <v>203718.96</v>
      </c>
      <c r="BK47" s="38" t="n">
        <v>129816.4</v>
      </c>
      <c r="BL47" s="38" t="n">
        <v>118492.29</v>
      </c>
      <c r="BM47" s="38" t="n">
        <v>95389.86</v>
      </c>
    </row>
    <row r="48">
      <c r="A48" t="inlineStr">
        <is>
          <t>5417 - LOE - PUMPING / GAUGER LABOR</t>
        </is>
      </c>
      <c r="C48" s="38" t="n">
        <v>119480.75</v>
      </c>
      <c r="D48" s="38" t="n">
        <v>179464.76</v>
      </c>
      <c r="E48" s="38" t="n">
        <v>634594.91</v>
      </c>
      <c r="F48" s="38" t="n">
        <v>554284.54</v>
      </c>
      <c r="G48" s="38" t="n">
        <v>365393.47</v>
      </c>
      <c r="H48" s="38" t="n">
        <v>701727.3</v>
      </c>
      <c r="I48" s="38" t="n">
        <v>833039.97</v>
      </c>
      <c r="J48" s="38" t="n">
        <v>763486.87</v>
      </c>
      <c r="K48" s="38" t="n">
        <v>633231.13</v>
      </c>
      <c r="L48" s="38" t="n">
        <v>876933.29</v>
      </c>
      <c r="M48" s="38" t="n">
        <v>840024.8199999999</v>
      </c>
      <c r="N48" s="38" t="n">
        <v>888336.4399999999</v>
      </c>
      <c r="O48" s="38" t="n">
        <v>7389998.25</v>
      </c>
      <c r="P48" s="38" t="n"/>
      <c r="Q48" s="38" t="n">
        <v>1149911.15</v>
      </c>
      <c r="R48" s="38" t="n">
        <v>829271</v>
      </c>
      <c r="S48" s="38" t="n">
        <v>693956.7</v>
      </c>
      <c r="T48" s="38" t="n">
        <v>1008386.48</v>
      </c>
      <c r="U48" s="38" t="n">
        <v>978383.09</v>
      </c>
      <c r="V48" s="38" t="n">
        <v>623828</v>
      </c>
      <c r="W48" s="38" t="n">
        <v>641470.76</v>
      </c>
      <c r="X48" s="38" t="n">
        <v>714833.0699999999</v>
      </c>
      <c r="Y48" s="38" t="n">
        <v>784323.4399999999</v>
      </c>
      <c r="Z48" s="38" t="n">
        <v>674781.78</v>
      </c>
      <c r="AA48" s="38" t="n">
        <v>931695.6899999999</v>
      </c>
      <c r="AB48" s="38" t="n">
        <v>647493.01</v>
      </c>
      <c r="AC48" s="38" t="n">
        <v>9678334.189999999</v>
      </c>
      <c r="AD48" s="38" t="n"/>
      <c r="AE48" s="38" t="n">
        <v>854317.54</v>
      </c>
      <c r="AF48" s="38" t="n">
        <v>632022.8199999999</v>
      </c>
      <c r="AG48" s="38" t="n">
        <v>382394.47</v>
      </c>
      <c r="AH48" s="38" t="n">
        <v>349461.74</v>
      </c>
      <c r="AI48" s="38" t="n">
        <v>507800.45</v>
      </c>
      <c r="AJ48" s="38" t="n">
        <v>434358.15</v>
      </c>
      <c r="AK48" s="38" t="n">
        <v>497463.95</v>
      </c>
      <c r="AL48" s="38" t="n">
        <v>547635.09</v>
      </c>
      <c r="AM48" s="38" t="n">
        <v>571221.25</v>
      </c>
      <c r="AN48" s="38" t="n">
        <v>428817.92</v>
      </c>
      <c r="AO48" s="38" t="n">
        <v>650708.63</v>
      </c>
      <c r="AP48" s="38" t="n">
        <v>400100.06</v>
      </c>
      <c r="AQ48" s="38" t="n">
        <v>6256302.07</v>
      </c>
      <c r="AR48" s="38" t="n"/>
      <c r="AS48" s="38" t="n">
        <v>308746.25</v>
      </c>
      <c r="AT48" s="38" t="n">
        <v>453425.9</v>
      </c>
      <c r="AU48" s="38" t="n">
        <v>494241.38</v>
      </c>
      <c r="AV48" s="38" t="n">
        <v>591053.16</v>
      </c>
      <c r="AW48" s="38" t="n">
        <v>241548.29</v>
      </c>
      <c r="AX48" s="38" t="n">
        <v>219355.8</v>
      </c>
      <c r="AY48" s="38" t="n">
        <v>341988.76</v>
      </c>
      <c r="AZ48" s="38" t="n">
        <v>331578.59</v>
      </c>
      <c r="BA48" s="38" t="n">
        <v>316604.28</v>
      </c>
      <c r="BB48" s="38" t="n">
        <v>276025.74</v>
      </c>
      <c r="BC48" s="38" t="n">
        <v>315477.39</v>
      </c>
      <c r="BD48" s="38" t="n">
        <v>313423.87</v>
      </c>
      <c r="BE48" s="38" t="n">
        <v>4203469.42</v>
      </c>
      <c r="BF48" s="38" t="n"/>
      <c r="BG48" s="38" t="n">
        <v>213025.76</v>
      </c>
      <c r="BH48" s="38" t="n">
        <v>252235.28</v>
      </c>
      <c r="BI48" s="38" t="n">
        <v>252177.64</v>
      </c>
      <c r="BJ48" s="38" t="n">
        <v>257856.85</v>
      </c>
      <c r="BK48" s="38" t="n">
        <v>253965.13</v>
      </c>
      <c r="BL48" s="38" t="n">
        <v>232692.63</v>
      </c>
      <c r="BM48" s="38" t="n">
        <v>242919.02</v>
      </c>
    </row>
    <row r="49">
      <c r="A49" t="inlineStr">
        <is>
          <t>5418 - LOE - REPAIRS AND REPLACEMENT</t>
        </is>
      </c>
      <c r="C49" s="38" t="n">
        <v>144454.93</v>
      </c>
      <c r="D49" s="38" t="n">
        <v>192838.65</v>
      </c>
      <c r="E49" s="38" t="n">
        <v>346582.16</v>
      </c>
      <c r="F49" s="38" t="n">
        <v>466655</v>
      </c>
      <c r="G49" s="38" t="n">
        <v>460347.57</v>
      </c>
      <c r="H49" s="38" t="n">
        <v>793232.27</v>
      </c>
      <c r="I49" s="38" t="n">
        <v>530843.36</v>
      </c>
      <c r="J49" s="38" t="n">
        <v>611516.16</v>
      </c>
      <c r="K49" s="38" t="n">
        <v>602915.34</v>
      </c>
      <c r="L49" s="38" t="n">
        <v>666584.14</v>
      </c>
      <c r="M49" s="38" t="n">
        <v>861185.11</v>
      </c>
      <c r="N49" s="38" t="n">
        <v>736520.91</v>
      </c>
      <c r="O49" s="38" t="n">
        <v>6413675.6</v>
      </c>
      <c r="P49" s="38" t="n"/>
      <c r="Q49" s="38" t="n">
        <v>639980.09</v>
      </c>
      <c r="R49" s="38" t="n">
        <v>622072.97</v>
      </c>
      <c r="S49" s="38" t="n">
        <v>909183.3199999999</v>
      </c>
      <c r="T49" s="38" t="n">
        <v>892569.33</v>
      </c>
      <c r="U49" s="38" t="n">
        <v>677289.04</v>
      </c>
      <c r="V49" s="38" t="n">
        <v>441634.86</v>
      </c>
      <c r="W49" s="38" t="n">
        <v>513359.81</v>
      </c>
      <c r="X49" s="38" t="n">
        <v>812749.6800000001</v>
      </c>
      <c r="Y49" s="38" t="n">
        <v>507128.25</v>
      </c>
      <c r="Z49" s="38" t="n">
        <v>395653.58</v>
      </c>
      <c r="AA49" s="38" t="n">
        <v>422147.09</v>
      </c>
      <c r="AB49" s="38" t="n">
        <v>361567.59</v>
      </c>
      <c r="AC49" s="38" t="n">
        <v>7195335.62</v>
      </c>
      <c r="AD49" s="38" t="n"/>
      <c r="AE49" s="38" t="n">
        <v>416398.98</v>
      </c>
      <c r="AF49" s="38" t="n">
        <v>461406.26</v>
      </c>
      <c r="AG49" s="38" t="n">
        <v>325162.89</v>
      </c>
      <c r="AH49" s="38" t="n">
        <v>238195.48</v>
      </c>
      <c r="AI49" s="38" t="n">
        <v>347612.68</v>
      </c>
      <c r="AJ49" s="38" t="n">
        <v>408883.69</v>
      </c>
      <c r="AK49" s="38" t="n">
        <v>568395.63</v>
      </c>
      <c r="AL49" s="38" t="n">
        <v>454681.46</v>
      </c>
      <c r="AM49" s="38" t="n">
        <v>311144.38</v>
      </c>
      <c r="AN49" s="38" t="n">
        <v>271017.04</v>
      </c>
      <c r="AO49" s="38" t="n">
        <v>482485.31</v>
      </c>
      <c r="AP49" s="38" t="n">
        <v>354489.83</v>
      </c>
      <c r="AQ49" s="38" t="n">
        <v>4639873.64</v>
      </c>
      <c r="AR49" s="38" t="n"/>
      <c r="AS49" s="38" t="n">
        <v>319403.55</v>
      </c>
      <c r="AT49" s="38" t="n">
        <v>273733.62</v>
      </c>
      <c r="AU49" s="38" t="n">
        <v>377217.43</v>
      </c>
      <c r="AV49" s="38" t="n">
        <v>445461.98</v>
      </c>
      <c r="AW49" s="38" t="n">
        <v>206977.85</v>
      </c>
      <c r="AX49" s="38" t="n">
        <v>267512.09</v>
      </c>
      <c r="AY49" s="38" t="n">
        <v>203660.17</v>
      </c>
      <c r="AZ49" s="38" t="n">
        <v>275223.77</v>
      </c>
      <c r="BA49" s="38" t="n">
        <v>299657.75</v>
      </c>
      <c r="BB49" s="38" t="n">
        <v>227237.39</v>
      </c>
      <c r="BC49" s="38" t="n">
        <v>220977.89</v>
      </c>
      <c r="BD49" s="38" t="n">
        <v>250350.78</v>
      </c>
      <c r="BE49" s="38" t="n">
        <v>3367414.26</v>
      </c>
      <c r="BF49" s="38" t="n"/>
      <c r="BG49" s="38" t="n">
        <v>275673.41</v>
      </c>
      <c r="BH49" s="38" t="n">
        <v>292626.93</v>
      </c>
      <c r="BI49" s="38" t="n">
        <v>255477.37</v>
      </c>
      <c r="BJ49" s="38" t="n">
        <v>288140.77</v>
      </c>
      <c r="BK49" s="38" t="n">
        <v>187393.26</v>
      </c>
      <c r="BL49" s="38" t="n">
        <v>244204.77</v>
      </c>
      <c r="BM49" s="38" t="n">
        <v>231138.45</v>
      </c>
    </row>
    <row r="50">
      <c r="A50" t="inlineStr">
        <is>
          <t>5419 - LOE - SAFETY ENVIR &amp; REGUL</t>
        </is>
      </c>
      <c r="C50" s="38" t="n">
        <v>31844.37</v>
      </c>
      <c r="D50" s="38" t="n">
        <v>41983.93</v>
      </c>
      <c r="E50" s="38" t="n">
        <v>82365.14</v>
      </c>
      <c r="F50" s="38" t="n">
        <v>111893.45</v>
      </c>
      <c r="G50" s="38" t="n">
        <v>81480.38</v>
      </c>
      <c r="H50" s="38" t="n">
        <v>121301.4</v>
      </c>
      <c r="I50" s="38" t="n">
        <v>132505.64</v>
      </c>
      <c r="J50" s="38" t="n">
        <v>202869.45</v>
      </c>
      <c r="K50" s="38" t="n">
        <v>182629.86</v>
      </c>
      <c r="L50" s="38" t="n">
        <v>180666.54</v>
      </c>
      <c r="M50" s="38" t="n">
        <v>188855.11</v>
      </c>
      <c r="N50" s="38" t="n">
        <v>226556.6</v>
      </c>
      <c r="O50" s="38" t="n">
        <v>1584951.88</v>
      </c>
      <c r="P50" s="38" t="n"/>
      <c r="Q50" s="38" t="n">
        <v>239553.86</v>
      </c>
      <c r="R50" s="38" t="n">
        <v>129822.44</v>
      </c>
      <c r="S50" s="38" t="n">
        <v>145777.92</v>
      </c>
      <c r="T50" s="38" t="n">
        <v>195779.2</v>
      </c>
      <c r="U50" s="38" t="n">
        <v>141618.43</v>
      </c>
      <c r="V50" s="38" t="n">
        <v>129343.89</v>
      </c>
      <c r="W50" s="38" t="n">
        <v>125043.48</v>
      </c>
      <c r="X50" s="38" t="n">
        <v>162202.64</v>
      </c>
      <c r="Y50" s="38" t="n">
        <v>152414.38</v>
      </c>
      <c r="Z50" s="38" t="n">
        <v>97234.75999999999</v>
      </c>
      <c r="AA50" s="38" t="n">
        <v>140659.82</v>
      </c>
      <c r="AB50" s="38" t="n">
        <v>143508.36</v>
      </c>
      <c r="AC50" s="38" t="n">
        <v>1802959.19</v>
      </c>
      <c r="AD50" s="38" t="n"/>
      <c r="AE50" s="38" t="n">
        <v>143392.8</v>
      </c>
      <c r="AF50" s="38" t="n">
        <v>86773.72</v>
      </c>
      <c r="AG50" s="38" t="n">
        <v>132634.48</v>
      </c>
      <c r="AH50" s="38" t="n">
        <v>67347.32000000001</v>
      </c>
      <c r="AI50" s="38" t="n">
        <v>114354.72</v>
      </c>
      <c r="AJ50" s="38" t="n">
        <v>86544.32000000001</v>
      </c>
      <c r="AK50" s="38" t="n">
        <v>110773.71</v>
      </c>
      <c r="AL50" s="38" t="n">
        <v>90525.52</v>
      </c>
      <c r="AM50" s="38" t="n">
        <v>104964.34</v>
      </c>
      <c r="AN50" s="38" t="n">
        <v>75066.32000000001</v>
      </c>
      <c r="AO50" s="38" t="n">
        <v>134455.76</v>
      </c>
      <c r="AP50" s="38" t="n">
        <v>68884.39</v>
      </c>
      <c r="AQ50" s="38" t="n">
        <v>1215717.39</v>
      </c>
      <c r="AR50" s="38" t="n"/>
      <c r="AS50" s="38" t="n">
        <v>81117.82000000001</v>
      </c>
      <c r="AT50" s="38" t="n">
        <v>107699.82</v>
      </c>
      <c r="AU50" s="38" t="n">
        <v>66723.5</v>
      </c>
      <c r="AV50" s="38" t="n">
        <v>127789.94</v>
      </c>
      <c r="AW50" s="38" t="n">
        <v>69085.92</v>
      </c>
      <c r="AX50" s="38" t="n">
        <v>45966.79</v>
      </c>
      <c r="AY50" s="38" t="n">
        <v>74876.50999999999</v>
      </c>
      <c r="AZ50" s="38" t="n">
        <v>69015.13</v>
      </c>
      <c r="BA50" s="38" t="n">
        <v>71407.5</v>
      </c>
      <c r="BB50" s="38" t="n">
        <v>49478.48</v>
      </c>
      <c r="BC50" s="38" t="n">
        <v>61263.47</v>
      </c>
      <c r="BD50" s="38" t="n">
        <v>66107.61</v>
      </c>
      <c r="BE50" s="38" t="n">
        <v>890532.5</v>
      </c>
      <c r="BF50" s="38" t="n"/>
      <c r="BG50" s="38" t="n">
        <v>57271.04</v>
      </c>
      <c r="BH50" s="38" t="n">
        <v>65956.03</v>
      </c>
      <c r="BI50" s="38" t="n">
        <v>53230.62</v>
      </c>
      <c r="BJ50" s="38" t="n">
        <v>60991.54</v>
      </c>
      <c r="BK50" s="38" t="n">
        <v>69209.67</v>
      </c>
      <c r="BL50" s="38" t="n">
        <v>51821.68</v>
      </c>
      <c r="BM50" s="38" t="n">
        <v>53660.12</v>
      </c>
    </row>
    <row r="51">
      <c r="A51" t="inlineStr">
        <is>
          <t>5420 - LOE - SUBMERSIBLE PUMPS</t>
        </is>
      </c>
      <c r="C51" s="38" t="n">
        <v>32337.43</v>
      </c>
      <c r="D51" s="38" t="n">
        <v>48677.66</v>
      </c>
      <c r="E51" s="38" t="n">
        <v>115699.67</v>
      </c>
      <c r="F51" s="38" t="n">
        <v>64562.92</v>
      </c>
      <c r="G51" s="38" t="n">
        <v>78027.21000000001</v>
      </c>
      <c r="H51" s="38" t="n">
        <v>104338.5</v>
      </c>
      <c r="I51" s="38" t="n">
        <v>148296.03</v>
      </c>
      <c r="J51" s="38" t="n">
        <v>168329.57</v>
      </c>
      <c r="K51" s="38" t="n">
        <v>163999.44</v>
      </c>
      <c r="L51" s="38" t="n">
        <v>221141.7</v>
      </c>
      <c r="M51" s="38" t="n">
        <v>140357.7</v>
      </c>
      <c r="N51" s="38" t="n">
        <v>147360.99</v>
      </c>
      <c r="O51" s="38" t="n">
        <v>1433128.8</v>
      </c>
      <c r="P51" s="38" t="n"/>
      <c r="Q51" s="38" t="n">
        <v>119445.62</v>
      </c>
      <c r="R51" s="38" t="n">
        <v>96042.3</v>
      </c>
      <c r="S51" s="38" t="n">
        <v>132984.89</v>
      </c>
      <c r="T51" s="38" t="n">
        <v>150016.53</v>
      </c>
      <c r="U51" s="38" t="n">
        <v>126933.17</v>
      </c>
      <c r="V51" s="38" t="n">
        <v>99149.64999999999</v>
      </c>
      <c r="W51" s="38" t="n">
        <v>100586.76</v>
      </c>
      <c r="X51" s="38" t="n">
        <v>143687.98</v>
      </c>
      <c r="Y51" s="38" t="n">
        <v>127767.12</v>
      </c>
      <c r="Z51" s="38" t="n">
        <v>78803.23</v>
      </c>
      <c r="AA51" s="38" t="n">
        <v>164415.62</v>
      </c>
      <c r="AB51" s="38" t="n">
        <v>82674.59</v>
      </c>
      <c r="AC51" s="38" t="n">
        <v>1422507.46</v>
      </c>
      <c r="AD51" s="38" t="n"/>
      <c r="AE51" s="38" t="n">
        <v>121048.27</v>
      </c>
      <c r="AF51" s="38" t="n">
        <v>76074.78</v>
      </c>
      <c r="AG51" s="38" t="n">
        <v>97167.59</v>
      </c>
      <c r="AH51" s="38" t="n">
        <v>83641.36</v>
      </c>
      <c r="AI51" s="38" t="n">
        <v>116232.24</v>
      </c>
      <c r="AJ51" s="38" t="n">
        <v>83108.69</v>
      </c>
      <c r="AK51" s="38" t="n">
        <v>76167.21000000001</v>
      </c>
      <c r="AL51" s="38" t="n">
        <v>92685.53999999999</v>
      </c>
      <c r="AM51" s="38" t="n">
        <v>57086.15</v>
      </c>
      <c r="AN51" s="38" t="n">
        <v>83874.88</v>
      </c>
      <c r="AO51" s="38" t="n">
        <v>102303.99</v>
      </c>
      <c r="AP51" s="38" t="n">
        <v>62035.47</v>
      </c>
      <c r="AQ51" s="38" t="n">
        <v>1051426.17</v>
      </c>
      <c r="AR51" s="38" t="n"/>
      <c r="AS51" s="38" t="n">
        <v>59434.19</v>
      </c>
      <c r="AT51" s="38" t="n">
        <v>71118.19</v>
      </c>
      <c r="AU51" s="38" t="n">
        <v>63431.49</v>
      </c>
      <c r="AV51" s="38" t="n">
        <v>79837.52</v>
      </c>
      <c r="AW51" s="38" t="n">
        <v>48391.18</v>
      </c>
      <c r="AX51" s="38" t="n">
        <v>53876.86</v>
      </c>
      <c r="AY51" s="38" t="n">
        <v>42622.67</v>
      </c>
      <c r="AZ51" s="38" t="n">
        <v>39700.15</v>
      </c>
      <c r="BA51" s="38" t="n">
        <v>56389.47</v>
      </c>
      <c r="BB51" s="38" t="n">
        <v>36633.97</v>
      </c>
      <c r="BC51" s="38" t="n">
        <v>57115.96</v>
      </c>
      <c r="BD51" s="38" t="n">
        <v>51249.68</v>
      </c>
      <c r="BE51" s="38" t="n">
        <v>659801.3199999999</v>
      </c>
      <c r="BF51" s="38" t="n"/>
      <c r="BG51" s="38" t="n">
        <v>43518.16</v>
      </c>
      <c r="BH51" s="38" t="n">
        <v>46907.04</v>
      </c>
      <c r="BI51" s="38" t="n">
        <v>35078.96</v>
      </c>
      <c r="BJ51" s="38" t="n">
        <v>41522.71</v>
      </c>
      <c r="BK51" s="38" t="n">
        <v>55270.65</v>
      </c>
      <c r="BL51" s="38" t="n">
        <v>36850.23</v>
      </c>
      <c r="BM51" s="38" t="n">
        <v>53533.76</v>
      </c>
    </row>
    <row r="52">
      <c r="A52" t="inlineStr">
        <is>
          <t>5421 - LOE - SUPPLIES &amp; MISCELLANEOUS</t>
        </is>
      </c>
      <c r="C52" s="38" t="n">
        <v>61680.55</v>
      </c>
      <c r="D52" s="38" t="n">
        <v>128372.03</v>
      </c>
      <c r="E52" s="38" t="n">
        <v>147220.28</v>
      </c>
      <c r="F52" s="38" t="n">
        <v>204531.98</v>
      </c>
      <c r="G52" s="38" t="n">
        <v>184587.39</v>
      </c>
      <c r="H52" s="38" t="n">
        <v>283669.33</v>
      </c>
      <c r="I52" s="38" t="n">
        <v>263825.15</v>
      </c>
      <c r="J52" s="38" t="n">
        <v>456802.67</v>
      </c>
      <c r="K52" s="38" t="n">
        <v>253195.03</v>
      </c>
      <c r="L52" s="38" t="n">
        <v>432278.38</v>
      </c>
      <c r="M52" s="38" t="n">
        <v>401704.85</v>
      </c>
      <c r="N52" s="38" t="n">
        <v>407315.1</v>
      </c>
      <c r="O52" s="38" t="n">
        <v>3225182.75</v>
      </c>
      <c r="P52" s="38" t="n"/>
      <c r="Q52" s="38" t="n">
        <v>350240.01</v>
      </c>
      <c r="R52" s="38" t="n">
        <v>345178.44</v>
      </c>
      <c r="S52" s="38" t="n">
        <v>342860.13</v>
      </c>
      <c r="T52" s="38" t="n">
        <v>488034.38</v>
      </c>
      <c r="U52" s="38" t="n">
        <v>303092.2</v>
      </c>
      <c r="V52" s="38" t="n">
        <v>256207.78</v>
      </c>
      <c r="W52" s="38" t="n">
        <v>215381.78</v>
      </c>
      <c r="X52" s="38" t="n">
        <v>423842.46</v>
      </c>
      <c r="Y52" s="38" t="n">
        <v>283282.6</v>
      </c>
      <c r="Z52" s="38" t="n">
        <v>271410.23</v>
      </c>
      <c r="AA52" s="38" t="n">
        <v>323098.14</v>
      </c>
      <c r="AB52" s="38" t="n">
        <v>188994.32</v>
      </c>
      <c r="AC52" s="38" t="n">
        <v>3791622.47</v>
      </c>
      <c r="AD52" s="38" t="n"/>
      <c r="AE52" s="38" t="n">
        <v>273635.04</v>
      </c>
      <c r="AF52" s="38" t="n">
        <v>265497.35</v>
      </c>
      <c r="AG52" s="38" t="n">
        <v>225126.31</v>
      </c>
      <c r="AH52" s="38" t="n">
        <v>157912.37</v>
      </c>
      <c r="AI52" s="38" t="n">
        <v>282000.64</v>
      </c>
      <c r="AJ52" s="38" t="n">
        <v>222293.38</v>
      </c>
      <c r="AK52" s="38" t="n">
        <v>259886.16</v>
      </c>
      <c r="AL52" s="38" t="n">
        <v>179793.78</v>
      </c>
      <c r="AM52" s="38" t="n">
        <v>176198.14</v>
      </c>
      <c r="AN52" s="38" t="n">
        <v>148437.59</v>
      </c>
      <c r="AO52" s="38" t="n">
        <v>207199.02</v>
      </c>
      <c r="AP52" s="38" t="n">
        <v>113530.95</v>
      </c>
      <c r="AQ52" s="38" t="n">
        <v>2511510.73</v>
      </c>
      <c r="AR52" s="38" t="n"/>
      <c r="AS52" s="38" t="n">
        <v>189667.19</v>
      </c>
      <c r="AT52" s="38" t="n">
        <v>159050.35</v>
      </c>
      <c r="AU52" s="38" t="n">
        <v>121824.16</v>
      </c>
      <c r="AV52" s="38" t="n">
        <v>224878.51</v>
      </c>
      <c r="AW52" s="38" t="n">
        <v>129014.35</v>
      </c>
      <c r="AX52" s="38" t="n">
        <v>106298.53</v>
      </c>
      <c r="AY52" s="38" t="n">
        <v>151874.31</v>
      </c>
      <c r="AZ52" s="38" t="n">
        <v>81182.82000000001</v>
      </c>
      <c r="BA52" s="38" t="n">
        <v>149676.54</v>
      </c>
      <c r="BB52" s="38" t="n">
        <v>109744.65</v>
      </c>
      <c r="BC52" s="38" t="n">
        <v>98731.50999999999</v>
      </c>
      <c r="BD52" s="38" t="n">
        <v>136994.3</v>
      </c>
      <c r="BE52" s="38" t="n">
        <v>1658937.21</v>
      </c>
      <c r="BF52" s="38" t="n"/>
      <c r="BG52" s="38" t="n">
        <v>136134.25</v>
      </c>
      <c r="BH52" s="38" t="n">
        <v>112457.82</v>
      </c>
      <c r="BI52" s="38" t="n">
        <v>86192.49000000001</v>
      </c>
      <c r="BJ52" s="38" t="n">
        <v>84571.99000000001</v>
      </c>
      <c r="BK52" s="38" t="n">
        <v>132808.4</v>
      </c>
      <c r="BL52" s="38" t="n">
        <v>74595.17</v>
      </c>
      <c r="BM52" s="38" t="n">
        <v>120487.74</v>
      </c>
    </row>
    <row r="53">
      <c r="A53" t="inlineStr">
        <is>
          <t>5422 - LOE - UTILITIES</t>
        </is>
      </c>
      <c r="C53" s="38" t="n">
        <v>99197.24000000001</v>
      </c>
      <c r="D53" s="38" t="n">
        <v>241709.79</v>
      </c>
      <c r="E53" s="38" t="n">
        <v>360917.31</v>
      </c>
      <c r="F53" s="38" t="n">
        <v>526722.22</v>
      </c>
      <c r="G53" s="38" t="n">
        <v>474608.56</v>
      </c>
      <c r="H53" s="38" t="n">
        <v>602841.6800000001</v>
      </c>
      <c r="I53" s="38" t="n">
        <v>487872.09</v>
      </c>
      <c r="J53" s="38" t="n">
        <v>1220218.71</v>
      </c>
      <c r="K53" s="38" t="n">
        <v>576429.77</v>
      </c>
      <c r="L53" s="38" t="n">
        <v>970813.26</v>
      </c>
      <c r="M53" s="38" t="n">
        <v>1058730.82</v>
      </c>
      <c r="N53" s="38" t="n">
        <v>639817.16</v>
      </c>
      <c r="O53" s="38" t="n">
        <v>7259878.62</v>
      </c>
      <c r="P53" s="38" t="n"/>
      <c r="Q53" s="38" t="n">
        <v>1005904.05</v>
      </c>
      <c r="R53" s="38" t="n">
        <v>604999.83</v>
      </c>
      <c r="S53" s="38" t="n">
        <v>1009039.91</v>
      </c>
      <c r="T53" s="38" t="n">
        <v>740040.72</v>
      </c>
      <c r="U53" s="38" t="n">
        <v>907224.16</v>
      </c>
      <c r="V53" s="38" t="n">
        <v>721996.85</v>
      </c>
      <c r="W53" s="38" t="n">
        <v>456396.02</v>
      </c>
      <c r="X53" s="38" t="n">
        <v>696837.01</v>
      </c>
      <c r="Y53" s="38" t="n">
        <v>530332.12</v>
      </c>
      <c r="Z53" s="38" t="n">
        <v>542877.9399999999</v>
      </c>
      <c r="AA53" s="38" t="n">
        <v>646904.25</v>
      </c>
      <c r="AB53" s="38" t="n">
        <v>386650.17</v>
      </c>
      <c r="AC53" s="38" t="n">
        <v>8249203.03</v>
      </c>
      <c r="AD53" s="38" t="n"/>
      <c r="AE53" s="38" t="n">
        <v>590368.9</v>
      </c>
      <c r="AF53" s="38" t="n">
        <v>408086.65</v>
      </c>
      <c r="AG53" s="38" t="n">
        <v>382261</v>
      </c>
      <c r="AH53" s="38" t="n">
        <v>433397.37</v>
      </c>
      <c r="AI53" s="38" t="n">
        <v>418811.02</v>
      </c>
      <c r="AJ53" s="38" t="n">
        <v>347395.52</v>
      </c>
      <c r="AK53" s="38" t="n">
        <v>536751.77</v>
      </c>
      <c r="AL53" s="38" t="n">
        <v>609272.5699999999</v>
      </c>
      <c r="AM53" s="38" t="n">
        <v>462222.9</v>
      </c>
      <c r="AN53" s="38" t="n">
        <v>306348.7</v>
      </c>
      <c r="AO53" s="38" t="n">
        <v>465094.23</v>
      </c>
      <c r="AP53" s="38" t="n">
        <v>318536.94</v>
      </c>
      <c r="AQ53" s="38" t="n">
        <v>5278547.56</v>
      </c>
      <c r="AR53" s="38" t="n"/>
      <c r="AS53" s="38" t="n">
        <v>320143.85</v>
      </c>
      <c r="AT53" s="38" t="n">
        <v>439840.51</v>
      </c>
      <c r="AU53" s="38" t="n">
        <v>477972.79</v>
      </c>
      <c r="AV53" s="38" t="n">
        <v>532037.79</v>
      </c>
      <c r="AW53" s="38" t="n">
        <v>360493.98</v>
      </c>
      <c r="AX53" s="38" t="n">
        <v>195643.99</v>
      </c>
      <c r="AY53" s="38" t="n">
        <v>224233.99</v>
      </c>
      <c r="AZ53" s="38" t="n">
        <v>250625.49</v>
      </c>
      <c r="BA53" s="38" t="n">
        <v>388828.18</v>
      </c>
      <c r="BB53" s="38" t="n">
        <v>207409.97</v>
      </c>
      <c r="BC53" s="38" t="n">
        <v>237773.3</v>
      </c>
      <c r="BD53" s="38" t="n">
        <v>286046.16</v>
      </c>
      <c r="BE53" s="38" t="n">
        <v>3921049.98</v>
      </c>
      <c r="BF53" s="38" t="n"/>
      <c r="BG53" s="38" t="n">
        <v>326749.21</v>
      </c>
      <c r="BH53" s="38" t="n">
        <v>218634.83</v>
      </c>
      <c r="BI53" s="38" t="n">
        <v>285157.84</v>
      </c>
      <c r="BJ53" s="38" t="n">
        <v>267782.03</v>
      </c>
      <c r="BK53" s="38" t="n">
        <v>268310.53</v>
      </c>
      <c r="BL53" s="38" t="n">
        <v>285794.34</v>
      </c>
      <c r="BM53" s="38" t="n">
        <v>199581.09</v>
      </c>
    </row>
    <row r="54">
      <c r="A54" t="inlineStr">
        <is>
          <t>5423 - LOE - VACUUM TRUCK</t>
        </is>
      </c>
      <c r="C54" s="38" t="n">
        <v>218933.79</v>
      </c>
      <c r="D54" s="38" t="n">
        <v>400527.93</v>
      </c>
      <c r="E54" s="38" t="n">
        <v>606523.42</v>
      </c>
      <c r="F54" s="38" t="n">
        <v>711787.4300000001</v>
      </c>
      <c r="G54" s="38" t="n">
        <v>489920.53</v>
      </c>
      <c r="H54" s="38" t="n">
        <v>1113512.44</v>
      </c>
      <c r="I54" s="38" t="n">
        <v>844089.52</v>
      </c>
      <c r="J54" s="38" t="n">
        <v>1051144.28</v>
      </c>
      <c r="K54" s="38" t="n">
        <v>1342168.39</v>
      </c>
      <c r="L54" s="38" t="n">
        <v>1185198.63</v>
      </c>
      <c r="M54" s="38" t="n">
        <v>1136923.67</v>
      </c>
      <c r="N54" s="38" t="n">
        <v>1282442.16</v>
      </c>
      <c r="O54" s="38" t="n">
        <v>10383172.18</v>
      </c>
      <c r="P54" s="38" t="n"/>
      <c r="Q54" s="38" t="n">
        <v>1394405.4</v>
      </c>
      <c r="R54" s="38" t="n">
        <v>762279.75</v>
      </c>
      <c r="S54" s="38" t="n">
        <v>1481286.31</v>
      </c>
      <c r="T54" s="38" t="n">
        <v>1256315.49</v>
      </c>
      <c r="U54" s="38" t="n">
        <v>1119290.72</v>
      </c>
      <c r="V54" s="38" t="n">
        <v>905988.77</v>
      </c>
      <c r="W54" s="38" t="n">
        <v>831831.61</v>
      </c>
      <c r="X54" s="38" t="n">
        <v>790316.87</v>
      </c>
      <c r="Y54" s="38" t="n">
        <v>653295.92</v>
      </c>
      <c r="Z54" s="38" t="n">
        <v>611781.9399999999</v>
      </c>
      <c r="AA54" s="38" t="n">
        <v>1038934.58</v>
      </c>
      <c r="AB54" s="38" t="n">
        <v>612638.1</v>
      </c>
      <c r="AC54" s="38" t="n">
        <v>11458365.46</v>
      </c>
      <c r="AD54" s="38" t="n"/>
      <c r="AE54" s="38" t="n">
        <v>641135.52</v>
      </c>
      <c r="AF54" s="38" t="n">
        <v>888658.3100000001</v>
      </c>
      <c r="AG54" s="38" t="n">
        <v>504467.57</v>
      </c>
      <c r="AH54" s="38" t="n">
        <v>442302.3</v>
      </c>
      <c r="AI54" s="38" t="n">
        <v>782998.6899999999</v>
      </c>
      <c r="AJ54" s="38" t="n">
        <v>698242.24</v>
      </c>
      <c r="AK54" s="38" t="n">
        <v>545563.5</v>
      </c>
      <c r="AL54" s="38" t="n">
        <v>653311.01</v>
      </c>
      <c r="AM54" s="38" t="n">
        <v>559267.96</v>
      </c>
      <c r="AN54" s="38" t="n">
        <v>556471.24</v>
      </c>
      <c r="AO54" s="38" t="n">
        <v>777663.16</v>
      </c>
      <c r="AP54" s="38" t="n">
        <v>433837.15</v>
      </c>
      <c r="AQ54" s="38" t="n">
        <v>7483918.64</v>
      </c>
      <c r="AR54" s="38" t="n"/>
      <c r="AS54" s="38" t="n">
        <v>414099.15</v>
      </c>
      <c r="AT54" s="38" t="n">
        <v>569278.3199999999</v>
      </c>
      <c r="AU54" s="38" t="n">
        <v>408049.14</v>
      </c>
      <c r="AV54" s="38" t="n">
        <v>681018.28</v>
      </c>
      <c r="AW54" s="38" t="n">
        <v>493786.01</v>
      </c>
      <c r="AX54" s="38" t="n">
        <v>369471.44</v>
      </c>
      <c r="AY54" s="38" t="n">
        <v>439417.05</v>
      </c>
      <c r="AZ54" s="38" t="n">
        <v>414644.22</v>
      </c>
      <c r="BA54" s="38" t="n">
        <v>461439.83</v>
      </c>
      <c r="BB54" s="38" t="n">
        <v>247329.77</v>
      </c>
      <c r="BC54" s="38" t="n">
        <v>459374.36</v>
      </c>
      <c r="BD54" s="38" t="n">
        <v>444009.05</v>
      </c>
      <c r="BE54" s="38" t="n">
        <v>5401916.62</v>
      </c>
      <c r="BF54" s="38" t="n"/>
      <c r="BG54" s="38" t="n">
        <v>438516.14</v>
      </c>
      <c r="BH54" s="38" t="n">
        <v>313380.5</v>
      </c>
      <c r="BI54" s="38" t="n">
        <v>321840.75</v>
      </c>
      <c r="BJ54" s="38" t="n">
        <v>474719.12</v>
      </c>
      <c r="BK54" s="38" t="n">
        <v>262235.68</v>
      </c>
      <c r="BL54" s="38" t="n">
        <v>360002.81</v>
      </c>
      <c r="BM54" s="38" t="n">
        <v>328032.19</v>
      </c>
    </row>
    <row r="55">
      <c r="A55" t="inlineStr">
        <is>
          <t>5424 - LOE - WATER HAULING &amp; SWD DISP</t>
        </is>
      </c>
      <c r="C55" s="38" t="n">
        <v>25465.03</v>
      </c>
      <c r="D55" s="38" t="n">
        <v>40417.69</v>
      </c>
      <c r="E55" s="38" t="n">
        <v>135132.5</v>
      </c>
      <c r="F55" s="38" t="n">
        <v>102201.85</v>
      </c>
      <c r="G55" s="38" t="n">
        <v>73022.5</v>
      </c>
      <c r="H55" s="38" t="n">
        <v>136606.44</v>
      </c>
      <c r="I55" s="38" t="n">
        <v>159252.93</v>
      </c>
      <c r="J55" s="38" t="n">
        <v>243169</v>
      </c>
      <c r="K55" s="38" t="n">
        <v>172335.83</v>
      </c>
      <c r="L55" s="38" t="n">
        <v>252603.62</v>
      </c>
      <c r="M55" s="38" t="n">
        <v>187846.47</v>
      </c>
      <c r="N55" s="38" t="n">
        <v>231981.4</v>
      </c>
      <c r="O55" s="38" t="n">
        <v>1760035.27</v>
      </c>
      <c r="P55" s="38" t="n"/>
      <c r="Q55" s="38" t="n">
        <v>198563.34</v>
      </c>
      <c r="R55" s="38" t="n">
        <v>171038.07</v>
      </c>
      <c r="S55" s="38" t="n">
        <v>173563.67</v>
      </c>
      <c r="T55" s="38" t="n">
        <v>229950.91</v>
      </c>
      <c r="U55" s="38" t="n">
        <v>146097.34</v>
      </c>
      <c r="V55" s="38" t="n">
        <v>136507.53</v>
      </c>
      <c r="W55" s="38" t="n">
        <v>177865.92</v>
      </c>
      <c r="X55" s="38" t="n">
        <v>161906.6</v>
      </c>
      <c r="Y55" s="38" t="n">
        <v>116894.27</v>
      </c>
      <c r="Z55" s="38" t="n">
        <v>100783.99</v>
      </c>
      <c r="AA55" s="38" t="n">
        <v>144264.42</v>
      </c>
      <c r="AB55" s="38" t="n">
        <v>119109.4</v>
      </c>
      <c r="AC55" s="38" t="n">
        <v>1876545.47</v>
      </c>
      <c r="AD55" s="38" t="n"/>
      <c r="AE55" s="38" t="n">
        <v>130891.21</v>
      </c>
      <c r="AF55" s="38" t="n">
        <v>97685.78999999999</v>
      </c>
      <c r="AG55" s="38" t="n">
        <v>94371.03</v>
      </c>
      <c r="AH55" s="38" t="n">
        <v>74985.2</v>
      </c>
      <c r="AI55" s="38" t="n">
        <v>109270.52</v>
      </c>
      <c r="AJ55" s="38" t="n">
        <v>97443.62</v>
      </c>
      <c r="AK55" s="38" t="n">
        <v>95335.42</v>
      </c>
      <c r="AL55" s="38" t="n">
        <v>111755.83</v>
      </c>
      <c r="AM55" s="38" t="n">
        <v>68411.27</v>
      </c>
      <c r="AN55" s="38" t="n">
        <v>73954.25999999999</v>
      </c>
      <c r="AO55" s="38" t="n">
        <v>122435.49</v>
      </c>
      <c r="AP55" s="38" t="n">
        <v>83523.55</v>
      </c>
      <c r="AQ55" s="38" t="n">
        <v>1160063.19</v>
      </c>
      <c r="AR55" s="38" t="n"/>
      <c r="AS55" s="38" t="n">
        <v>77272.28</v>
      </c>
      <c r="AT55" s="38" t="n">
        <v>71018.53</v>
      </c>
      <c r="AU55" s="38" t="n">
        <v>63256.15</v>
      </c>
      <c r="AV55" s="38" t="n">
        <v>104928.39</v>
      </c>
      <c r="AW55" s="38" t="n">
        <v>46092.27</v>
      </c>
      <c r="AX55" s="38" t="n">
        <v>61928.64</v>
      </c>
      <c r="AY55" s="38" t="n">
        <v>66487.98</v>
      </c>
      <c r="AZ55" s="38" t="n">
        <v>61153.76</v>
      </c>
      <c r="BA55" s="38" t="n">
        <v>63413.25</v>
      </c>
      <c r="BB55" s="38" t="n">
        <v>57965.44</v>
      </c>
      <c r="BC55" s="38" t="n">
        <v>69913.42</v>
      </c>
      <c r="BD55" s="38" t="n">
        <v>61090.97</v>
      </c>
      <c r="BE55" s="38" t="n">
        <v>804521.0699999999</v>
      </c>
      <c r="BF55" s="38" t="n"/>
      <c r="BG55" s="38" t="n">
        <v>67400.95</v>
      </c>
      <c r="BH55" s="38" t="n">
        <v>77616.60000000001</v>
      </c>
      <c r="BI55" s="38" t="n">
        <v>64044.5</v>
      </c>
      <c r="BJ55" s="38" t="n">
        <v>76156.96000000001</v>
      </c>
      <c r="BK55" s="38" t="n">
        <v>70692.55</v>
      </c>
      <c r="BL55" s="38" t="n">
        <v>45023.61</v>
      </c>
      <c r="BM55" s="38" t="n">
        <v>57890.75</v>
      </c>
    </row>
    <row r="56">
      <c r="A56" t="inlineStr">
        <is>
          <t>5425 - LOE - GENERATOR RENTAL</t>
        </is>
      </c>
      <c r="C56" s="38" t="n">
        <v>93963.94</v>
      </c>
      <c r="D56" s="38" t="n">
        <v>170678.2</v>
      </c>
      <c r="E56" s="38" t="n">
        <v>434181.02</v>
      </c>
      <c r="F56" s="38" t="n">
        <v>353430.5</v>
      </c>
      <c r="G56" s="38" t="n">
        <v>400739.39</v>
      </c>
      <c r="H56" s="38" t="n">
        <v>598904.63</v>
      </c>
      <c r="I56" s="38" t="n">
        <v>628197.63</v>
      </c>
      <c r="J56" s="38" t="n">
        <v>907563</v>
      </c>
      <c r="K56" s="38" t="n">
        <v>449833.99</v>
      </c>
      <c r="L56" s="38" t="n">
        <v>630172.4300000001</v>
      </c>
      <c r="M56" s="38" t="n">
        <v>719106.3100000001</v>
      </c>
      <c r="N56" s="38" t="n">
        <v>771501.45</v>
      </c>
      <c r="O56" s="38" t="n">
        <v>6158272.5</v>
      </c>
      <c r="P56" s="38" t="n"/>
      <c r="Q56" s="38" t="n">
        <v>699718.0699999999</v>
      </c>
      <c r="R56" s="38" t="n">
        <v>499013.86</v>
      </c>
      <c r="S56" s="38" t="n">
        <v>579243.2</v>
      </c>
      <c r="T56" s="38" t="n">
        <v>720282.36</v>
      </c>
      <c r="U56" s="38" t="n">
        <v>677573.1</v>
      </c>
      <c r="V56" s="38" t="n">
        <v>506385.23</v>
      </c>
      <c r="W56" s="38" t="n">
        <v>389005.77</v>
      </c>
      <c r="X56" s="38" t="n">
        <v>648741.13</v>
      </c>
      <c r="Y56" s="38" t="n">
        <v>425257.08</v>
      </c>
      <c r="Z56" s="38" t="n">
        <v>529959.47</v>
      </c>
      <c r="AA56" s="38" t="n">
        <v>574644.6</v>
      </c>
      <c r="AB56" s="38" t="n">
        <v>434995.41</v>
      </c>
      <c r="AC56" s="38" t="n">
        <v>6684819.28</v>
      </c>
      <c r="AD56" s="38" t="n"/>
      <c r="AE56" s="38" t="n">
        <v>545782.15</v>
      </c>
      <c r="AF56" s="38" t="n">
        <v>308489.23</v>
      </c>
      <c r="AG56" s="38" t="n">
        <v>385752.3</v>
      </c>
      <c r="AH56" s="38" t="n">
        <v>204101.23</v>
      </c>
      <c r="AI56" s="38" t="n">
        <v>325529.22</v>
      </c>
      <c r="AJ56" s="38" t="n">
        <v>278677.98</v>
      </c>
      <c r="AK56" s="38" t="n">
        <v>401988.29</v>
      </c>
      <c r="AL56" s="38" t="n">
        <v>410670.81</v>
      </c>
      <c r="AM56" s="38" t="n">
        <v>300673.01</v>
      </c>
      <c r="AN56" s="38" t="n">
        <v>296845.72</v>
      </c>
      <c r="AO56" s="38" t="n">
        <v>260250.82</v>
      </c>
      <c r="AP56" s="38" t="n">
        <v>189130.05</v>
      </c>
      <c r="AQ56" s="38" t="n">
        <v>3907890.81</v>
      </c>
      <c r="AR56" s="38" t="n"/>
      <c r="AS56" s="38" t="n">
        <v>261587.53</v>
      </c>
      <c r="AT56" s="38" t="n">
        <v>280881.49</v>
      </c>
      <c r="AU56" s="38" t="n">
        <v>246926.75</v>
      </c>
      <c r="AV56" s="38" t="n">
        <v>299061.75</v>
      </c>
      <c r="AW56" s="38" t="n">
        <v>248254.98</v>
      </c>
      <c r="AX56" s="38" t="n">
        <v>147066.32</v>
      </c>
      <c r="AY56" s="38" t="n">
        <v>224734.24</v>
      </c>
      <c r="AZ56" s="38" t="n">
        <v>233121.17</v>
      </c>
      <c r="BA56" s="38" t="n">
        <v>291646.08</v>
      </c>
      <c r="BB56" s="38" t="n">
        <v>132839.65</v>
      </c>
      <c r="BC56" s="38" t="n">
        <v>226330.99</v>
      </c>
      <c r="BD56" s="38" t="n">
        <v>129122.33</v>
      </c>
      <c r="BE56" s="38" t="n">
        <v>2721573.29</v>
      </c>
      <c r="BF56" s="38" t="n"/>
      <c r="BG56" s="38" t="n">
        <v>159748.9</v>
      </c>
      <c r="BH56" s="38" t="n">
        <v>218141.17</v>
      </c>
      <c r="BI56" s="38" t="n">
        <v>137514.44</v>
      </c>
      <c r="BJ56" s="38" t="n">
        <v>191820.79</v>
      </c>
      <c r="BK56" s="38" t="n">
        <v>137209.7</v>
      </c>
      <c r="BL56" s="38" t="n">
        <v>190977.49</v>
      </c>
      <c r="BM56" s="38" t="n">
        <v>152671.62</v>
      </c>
    </row>
    <row r="57">
      <c r="A57" t="inlineStr">
        <is>
          <t>4902 - SWD INCOME 3RD PARTY</t>
        </is>
      </c>
      <c r="C57" s="38" t="n">
        <v>-50113.35</v>
      </c>
      <c r="D57" s="38" t="n">
        <v>-86499.12</v>
      </c>
      <c r="E57" s="38" t="n">
        <v>-308810.48</v>
      </c>
      <c r="F57" s="38" t="n">
        <v>-210782.79</v>
      </c>
      <c r="G57" s="38" t="n">
        <v>-266228.67</v>
      </c>
      <c r="H57" s="38" t="n">
        <v>-392101.87</v>
      </c>
      <c r="I57" s="38" t="n">
        <v>-413773.77</v>
      </c>
      <c r="J57" s="38" t="n">
        <v>-641631.39</v>
      </c>
      <c r="K57" s="38" t="n">
        <v>-304901.33</v>
      </c>
      <c r="L57" s="38" t="n">
        <v>-566049.1</v>
      </c>
      <c r="M57" s="38" t="n">
        <v>-499276.43</v>
      </c>
      <c r="N57" s="38" t="n">
        <v>-363549.66</v>
      </c>
      <c r="O57" s="38" t="n">
        <v>-4103717.96</v>
      </c>
      <c r="P57" s="38" t="n"/>
      <c r="Q57" s="38" t="n">
        <v>-570928.2</v>
      </c>
      <c r="R57" s="38" t="n">
        <v>-285106.35</v>
      </c>
      <c r="S57" s="38" t="n">
        <v>-324657</v>
      </c>
      <c r="T57" s="38" t="n">
        <v>-426072.7</v>
      </c>
      <c r="U57" s="38" t="n">
        <v>-498459.03</v>
      </c>
      <c r="V57" s="38" t="n">
        <v>-369750.52</v>
      </c>
      <c r="W57" s="38" t="n">
        <v>-262132.28</v>
      </c>
      <c r="X57" s="38" t="n">
        <v>-510489.47</v>
      </c>
      <c r="Y57" s="38" t="n">
        <v>-355596.48</v>
      </c>
      <c r="Z57" s="38" t="n">
        <v>-294449.59</v>
      </c>
      <c r="AA57" s="38" t="n">
        <v>-412001.54</v>
      </c>
      <c r="AB57" s="38" t="n">
        <v>-264909.29</v>
      </c>
      <c r="AC57" s="38" t="n">
        <v>-4574552.45</v>
      </c>
      <c r="AD57" s="38" t="n"/>
      <c r="AE57" s="38" t="n">
        <v>-301922.5</v>
      </c>
      <c r="AF57" s="38" t="n">
        <v>-319269.04</v>
      </c>
      <c r="AG57" s="38" t="n">
        <v>-184240.81</v>
      </c>
      <c r="AH57" s="38" t="n">
        <v>-189350.38</v>
      </c>
      <c r="AI57" s="38" t="n">
        <v>-307709.7</v>
      </c>
      <c r="AJ57" s="38" t="n">
        <v>-225969.24</v>
      </c>
      <c r="AK57" s="38" t="n">
        <v>-204475.34</v>
      </c>
      <c r="AL57" s="38" t="n">
        <v>-258319.6</v>
      </c>
      <c r="AM57" s="38" t="n">
        <v>-277770.25</v>
      </c>
      <c r="AN57" s="38" t="n">
        <v>-145249.4</v>
      </c>
      <c r="AO57" s="38" t="n">
        <v>-279733.76</v>
      </c>
      <c r="AP57" s="38" t="n">
        <v>-209337.17</v>
      </c>
      <c r="AQ57" s="38" t="n">
        <v>-2903347.17</v>
      </c>
      <c r="AR57" s="38" t="n"/>
      <c r="AS57" s="38" t="n">
        <v>-183719.04</v>
      </c>
      <c r="AT57" s="38" t="n">
        <v>-139634.98</v>
      </c>
      <c r="AU57" s="38" t="n">
        <v>-154994.16</v>
      </c>
      <c r="AV57" s="38" t="n">
        <v>-311592.84</v>
      </c>
      <c r="AW57" s="38" t="n">
        <v>-118562.33</v>
      </c>
      <c r="AX57" s="38" t="n">
        <v>-158363.84</v>
      </c>
      <c r="AY57" s="38" t="n">
        <v>-184574.55</v>
      </c>
      <c r="AZ57" s="38" t="n">
        <v>-149373.46</v>
      </c>
      <c r="BA57" s="38" t="n">
        <v>-151218.47</v>
      </c>
      <c r="BB57" s="38" t="n">
        <v>-97024.23</v>
      </c>
      <c r="BC57" s="38" t="n">
        <v>-117197.75</v>
      </c>
      <c r="BD57" s="38" t="n">
        <v>-153467.64</v>
      </c>
      <c r="BE57" s="38" t="n">
        <v>-1919723.3</v>
      </c>
      <c r="BF57" s="38" t="n"/>
      <c r="BG57" s="38" t="n">
        <v>-105062.72</v>
      </c>
      <c r="BH57" s="38" t="n">
        <v>-154313.35</v>
      </c>
      <c r="BI57" s="38" t="n">
        <v>-113418.84</v>
      </c>
      <c r="BJ57" s="38" t="n">
        <v>-155047.67</v>
      </c>
      <c r="BK57" s="38" t="n">
        <v>-162830.68</v>
      </c>
      <c r="BL57" s="38" t="n">
        <v>-110633.79</v>
      </c>
      <c r="BM57" s="38" t="n">
        <v>-145586.46</v>
      </c>
    </row>
    <row r="58">
      <c r="A58" t="inlineStr">
        <is>
          <t>4903 - SWD INCOME</t>
        </is>
      </c>
      <c r="C58" s="38" t="n">
        <v>-73569.52</v>
      </c>
      <c r="D58" s="38" t="n">
        <v>-140236.59</v>
      </c>
      <c r="E58" s="38" t="n">
        <v>-276949.69</v>
      </c>
      <c r="F58" s="38" t="n">
        <v>-180304.52</v>
      </c>
      <c r="G58" s="38" t="n">
        <v>-169977.83</v>
      </c>
      <c r="H58" s="38" t="n">
        <v>-276797.2</v>
      </c>
      <c r="I58" s="38" t="n">
        <v>-254750.87</v>
      </c>
      <c r="J58" s="38" t="n">
        <v>-591788.9399999999</v>
      </c>
      <c r="K58" s="38" t="n">
        <v>-395689.47</v>
      </c>
      <c r="L58" s="38" t="n">
        <v>-578802.37</v>
      </c>
      <c r="M58" s="38" t="n">
        <v>-429108.79</v>
      </c>
      <c r="N58" s="38" t="n">
        <v>-429178.05</v>
      </c>
      <c r="O58" s="38" t="n">
        <v>-3797153.84</v>
      </c>
      <c r="P58" s="38" t="n"/>
      <c r="Q58" s="38" t="n">
        <v>-336963.81</v>
      </c>
      <c r="R58" s="38" t="n">
        <v>-361274.2</v>
      </c>
      <c r="S58" s="38" t="n">
        <v>-335193.76</v>
      </c>
      <c r="T58" s="38" t="n">
        <v>-378172.03</v>
      </c>
      <c r="U58" s="38" t="n">
        <v>-461504.48</v>
      </c>
      <c r="V58" s="38" t="n">
        <v>-311157.69</v>
      </c>
      <c r="W58" s="38" t="n">
        <v>-411167.98</v>
      </c>
      <c r="X58" s="38" t="n">
        <v>-447177.43</v>
      </c>
      <c r="Y58" s="38" t="n">
        <v>-332770.33</v>
      </c>
      <c r="Z58" s="38" t="n">
        <v>-237634.29</v>
      </c>
      <c r="AA58" s="38" t="n">
        <v>-315786.43</v>
      </c>
      <c r="AB58" s="38" t="n">
        <v>-195440.2</v>
      </c>
      <c r="AC58" s="38" t="n">
        <v>-4124242.62</v>
      </c>
      <c r="AD58" s="38" t="n"/>
      <c r="AE58" s="38" t="n">
        <v>-361332.25</v>
      </c>
      <c r="AF58" s="38" t="n">
        <v>-185999.08</v>
      </c>
      <c r="AG58" s="38" t="n">
        <v>-181971.54</v>
      </c>
      <c r="AH58" s="38" t="n">
        <v>-201443.53</v>
      </c>
      <c r="AI58" s="38" t="n">
        <v>-228409.2</v>
      </c>
      <c r="AJ58" s="38" t="n">
        <v>-301186.75</v>
      </c>
      <c r="AK58" s="38" t="n">
        <v>-238175.02</v>
      </c>
      <c r="AL58" s="38" t="n">
        <v>-178777.14</v>
      </c>
      <c r="AM58" s="38" t="n">
        <v>-201777.56</v>
      </c>
      <c r="AN58" s="38" t="n">
        <v>-178477.5</v>
      </c>
      <c r="AO58" s="38" t="n">
        <v>-281568.85</v>
      </c>
      <c r="AP58" s="38" t="n">
        <v>-118251.88</v>
      </c>
      <c r="AQ58" s="38" t="n">
        <v>-2657370.3</v>
      </c>
      <c r="AR58" s="38" t="n"/>
      <c r="AS58" s="38" t="n">
        <v>-160118.88</v>
      </c>
      <c r="AT58" s="38" t="n">
        <v>-227682.57</v>
      </c>
      <c r="AU58" s="38" t="n">
        <v>-188192.58</v>
      </c>
      <c r="AV58" s="38" t="n">
        <v>-247782.85</v>
      </c>
      <c r="AW58" s="38" t="n">
        <v>-182828.49</v>
      </c>
      <c r="AX58" s="38" t="n">
        <v>-134294.4</v>
      </c>
      <c r="AY58" s="38" t="n">
        <v>-169708.18</v>
      </c>
      <c r="AZ58" s="38" t="n">
        <v>-124106.1</v>
      </c>
      <c r="BA58" s="38" t="n">
        <v>-126602.16</v>
      </c>
      <c r="BB58" s="38" t="n">
        <v>-113985.21</v>
      </c>
      <c r="BC58" s="38" t="n">
        <v>-145272.11</v>
      </c>
      <c r="BD58" s="38" t="n">
        <v>-98977.56</v>
      </c>
      <c r="BE58" s="38" t="n">
        <v>-1919551.09</v>
      </c>
      <c r="BF58" s="38" t="n"/>
      <c r="BG58" s="38" t="n">
        <v>-152538.6</v>
      </c>
      <c r="BH58" s="38" t="n">
        <v>-173701.49</v>
      </c>
      <c r="BI58" s="38" t="n">
        <v>-123169.75</v>
      </c>
      <c r="BJ58" s="38" t="n">
        <v>-149317.22</v>
      </c>
      <c r="BK58" s="38" t="n">
        <v>-153654.68</v>
      </c>
      <c r="BL58" s="38" t="n">
        <v>-84910.08</v>
      </c>
      <c r="BM58" s="38" t="n">
        <v>-106744.48</v>
      </c>
    </row>
    <row r="59"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</row>
    <row r="60">
      <c r="A60" t="inlineStr">
        <is>
          <t>Ad valorem tax</t>
        </is>
      </c>
      <c r="C60" s="38" t="n">
        <v>182898.85</v>
      </c>
      <c r="D60" s="38" t="n">
        <v>314679.42</v>
      </c>
      <c r="E60" s="38" t="n">
        <v>642734.04</v>
      </c>
      <c r="F60" s="38" t="n">
        <v>586077.5699999999</v>
      </c>
      <c r="G60" s="38" t="n">
        <v>605440.78</v>
      </c>
      <c r="H60" s="38" t="n">
        <v>959519.72</v>
      </c>
      <c r="I60" s="38" t="n">
        <v>977696.74</v>
      </c>
      <c r="J60" s="38" t="n">
        <v>1365102.83</v>
      </c>
      <c r="K60" s="38" t="n">
        <v>1039760.8</v>
      </c>
      <c r="L60" s="38" t="n">
        <v>1372027.32</v>
      </c>
      <c r="M60" s="38" t="n">
        <v>1194286.62</v>
      </c>
      <c r="N60" s="38" t="n">
        <v>1159465.3</v>
      </c>
      <c r="O60" s="38" t="n">
        <v>10399690.01</v>
      </c>
      <c r="P60" s="38" t="n"/>
      <c r="Q60" s="38" t="n">
        <v>1191727.67</v>
      </c>
      <c r="R60" s="38" t="n">
        <v>968157.13</v>
      </c>
      <c r="S60" s="38" t="n">
        <v>1138347.97</v>
      </c>
      <c r="T60" s="38" t="n">
        <v>1223044.65</v>
      </c>
      <c r="U60" s="38" t="n">
        <v>1152358.44</v>
      </c>
      <c r="V60" s="38" t="n">
        <v>801808.63</v>
      </c>
      <c r="W60" s="38" t="n">
        <v>888201.6</v>
      </c>
      <c r="X60" s="38" t="n">
        <v>1027016.62</v>
      </c>
      <c r="Y60" s="38" t="n">
        <v>825981.58</v>
      </c>
      <c r="Z60" s="38" t="n">
        <v>804157.0600000001</v>
      </c>
      <c r="AA60" s="38" t="n">
        <v>944863.37</v>
      </c>
      <c r="AB60" s="38" t="n">
        <v>681538.86</v>
      </c>
      <c r="AC60" s="38" t="n">
        <v>11647203.57</v>
      </c>
      <c r="AD60" s="38" t="n"/>
      <c r="AE60" s="38" t="n">
        <v>849526.3100000001</v>
      </c>
      <c r="AF60" s="38" t="n">
        <v>713136.05</v>
      </c>
      <c r="AG60" s="38" t="n">
        <v>663647.6</v>
      </c>
      <c r="AH60" s="38" t="n">
        <v>520631.24</v>
      </c>
      <c r="AI60" s="38" t="n">
        <v>691526.92</v>
      </c>
      <c r="AJ60" s="38" t="n">
        <v>649949.02</v>
      </c>
      <c r="AK60" s="38" t="n">
        <v>705295.8100000001</v>
      </c>
      <c r="AL60" s="38" t="n">
        <v>671506.24</v>
      </c>
      <c r="AM60" s="38" t="n">
        <v>565061.24</v>
      </c>
      <c r="AN60" s="38" t="n">
        <v>526244.9399999999</v>
      </c>
      <c r="AO60" s="38" t="n">
        <v>636426.4300000001</v>
      </c>
      <c r="AP60" s="38" t="n">
        <v>453316.93</v>
      </c>
      <c r="AQ60" s="38" t="n">
        <v>7646268.73</v>
      </c>
      <c r="AR60" s="38" t="n"/>
      <c r="AS60" s="38" t="n">
        <v>466460.41</v>
      </c>
      <c r="AT60" s="38" t="n">
        <v>516953.83</v>
      </c>
      <c r="AU60" s="38" t="n">
        <v>531546.65</v>
      </c>
      <c r="AV60" s="38" t="n">
        <v>662014.05</v>
      </c>
      <c r="AW60" s="38" t="n">
        <v>394931.6</v>
      </c>
      <c r="AX60" s="38" t="n">
        <v>363262.6</v>
      </c>
      <c r="AY60" s="38" t="n">
        <v>370766.28</v>
      </c>
      <c r="AZ60" s="38" t="n">
        <v>354820.07</v>
      </c>
      <c r="BA60" s="38" t="n">
        <v>449418.15</v>
      </c>
      <c r="BB60" s="38" t="n">
        <v>294862.16</v>
      </c>
      <c r="BC60" s="38" t="n">
        <v>348245.48</v>
      </c>
      <c r="BD60" s="38" t="n">
        <v>338462.16</v>
      </c>
      <c r="BE60" s="38" t="n">
        <v>5091743.44</v>
      </c>
      <c r="BF60" s="38" t="n"/>
      <c r="BG60" s="38" t="n">
        <v>379457.47</v>
      </c>
      <c r="BH60" s="38" t="n">
        <v>394564.82</v>
      </c>
      <c r="BI60" s="38" t="n">
        <v>354132.46</v>
      </c>
      <c r="BJ60" s="38" t="n">
        <v>369032.25</v>
      </c>
      <c r="BK60" s="38" t="n">
        <v>364884.81</v>
      </c>
      <c r="BL60" s="38" t="n">
        <v>329125.93</v>
      </c>
      <c r="BM60" s="38" t="n">
        <v>305864.77</v>
      </c>
    </row>
    <row r="61"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</row>
    <row r="62">
      <c r="A62" t="inlineStr">
        <is>
          <t>Total LOE</t>
        </is>
      </c>
      <c r="C62" s="38" t="n">
        <v>1372732.78</v>
      </c>
      <c r="D62" s="38" t="n">
        <v>2361801.35</v>
      </c>
      <c r="E62" s="38" t="n">
        <v>4823989.18</v>
      </c>
      <c r="F62" s="38" t="n">
        <v>4398758.55</v>
      </c>
      <c r="G62" s="38" t="n">
        <v>4544087.6</v>
      </c>
      <c r="H62" s="38" t="n">
        <v>7201598.89</v>
      </c>
      <c r="I62" s="38" t="n">
        <v>7338025.04</v>
      </c>
      <c r="J62" s="38" t="n">
        <v>10245670.63</v>
      </c>
      <c r="K62" s="38" t="n">
        <v>7803841.94</v>
      </c>
      <c r="L62" s="38" t="n">
        <v>10297641.86</v>
      </c>
      <c r="M62" s="38" t="n">
        <v>8963623.18</v>
      </c>
      <c r="N62" s="38" t="n">
        <v>8702274.51</v>
      </c>
      <c r="O62" s="38" t="n">
        <v>78054045.52</v>
      </c>
      <c r="P62" s="38" t="n"/>
      <c r="Q62" s="38" t="n">
        <v>8944417.140000001</v>
      </c>
      <c r="R62" s="38" t="n">
        <v>7266426.24</v>
      </c>
      <c r="S62" s="38" t="n">
        <v>8543780.039999999</v>
      </c>
      <c r="T62" s="38" t="n">
        <v>9179464.279999999</v>
      </c>
      <c r="U62" s="38" t="n">
        <v>8648934.57</v>
      </c>
      <c r="V62" s="38" t="n">
        <v>6017910.82</v>
      </c>
      <c r="W62" s="38" t="n">
        <v>6666326.38</v>
      </c>
      <c r="X62" s="38" t="n">
        <v>7708191.47</v>
      </c>
      <c r="Y62" s="38" t="n">
        <v>6199339</v>
      </c>
      <c r="Z62" s="38" t="n">
        <v>6035536.81</v>
      </c>
      <c r="AA62" s="38" t="n">
        <v>7091596.82</v>
      </c>
      <c r="AB62" s="38" t="n">
        <v>5115235.66</v>
      </c>
      <c r="AC62" s="38" t="n">
        <v>87417159.25</v>
      </c>
      <c r="AD62" s="38" t="n"/>
      <c r="AE62" s="38" t="n">
        <v>6376052.06</v>
      </c>
      <c r="AF62" s="38" t="n">
        <v>5352385.88</v>
      </c>
      <c r="AG62" s="38" t="n">
        <v>4980954.2</v>
      </c>
      <c r="AH62" s="38" t="n">
        <v>3907556.29</v>
      </c>
      <c r="AI62" s="38" t="n">
        <v>5190200.26</v>
      </c>
      <c r="AJ62" s="38" t="n">
        <v>4878140.64</v>
      </c>
      <c r="AK62" s="38" t="n">
        <v>5293541.58</v>
      </c>
      <c r="AL62" s="38" t="n">
        <v>5039936.66</v>
      </c>
      <c r="AM62" s="38" t="n">
        <v>4241022.16</v>
      </c>
      <c r="AN62" s="38" t="n">
        <v>3949689.51</v>
      </c>
      <c r="AO62" s="38" t="n">
        <v>4776647.89</v>
      </c>
      <c r="AP62" s="38" t="n">
        <v>3402334.13</v>
      </c>
      <c r="AQ62" s="38" t="n">
        <v>57388461.28</v>
      </c>
      <c r="AR62" s="38" t="n"/>
      <c r="AS62" s="38" t="n">
        <v>3500981.48</v>
      </c>
      <c r="AT62" s="38" t="n">
        <v>3879955.83</v>
      </c>
      <c r="AU62" s="38" t="n">
        <v>3989481.1</v>
      </c>
      <c r="AV62" s="38" t="n">
        <v>4968693.73</v>
      </c>
      <c r="AW62" s="38" t="n">
        <v>2964127.68</v>
      </c>
      <c r="AX62" s="38" t="n">
        <v>2726438.53</v>
      </c>
      <c r="AY62" s="38" t="n">
        <v>2782756.79</v>
      </c>
      <c r="AZ62" s="38" t="n">
        <v>2663073.78</v>
      </c>
      <c r="BA62" s="38" t="n">
        <v>3373072.18</v>
      </c>
      <c r="BB62" s="38" t="n">
        <v>2213064.47</v>
      </c>
      <c r="BC62" s="38" t="n">
        <v>2613728.75</v>
      </c>
      <c r="BD62" s="38" t="n">
        <v>2540300.78</v>
      </c>
      <c r="BE62" s="38" t="n">
        <v>38215675.1</v>
      </c>
      <c r="BF62" s="38" t="n"/>
      <c r="BG62" s="38" t="n">
        <v>2847987.86</v>
      </c>
      <c r="BH62" s="38" t="n">
        <v>2961374.82</v>
      </c>
      <c r="BI62" s="38" t="n">
        <v>2657912.97</v>
      </c>
      <c r="BJ62" s="38" t="n">
        <v>2769742.21</v>
      </c>
      <c r="BK62" s="38" t="n">
        <v>2738613.91</v>
      </c>
      <c r="BL62" s="38" t="n">
        <v>2470228.5</v>
      </c>
      <c r="BM62" s="38" t="n">
        <v>2295643.68</v>
      </c>
    </row>
    <row r="63"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</row>
    <row r="64">
      <c r="A64" t="inlineStr">
        <is>
          <t>Operating Income (Loss)</t>
        </is>
      </c>
      <c r="C64" s="38" t="n">
        <v>0</v>
      </c>
      <c r="D64" s="38" t="n">
        <v>0</v>
      </c>
      <c r="E64" s="38" t="n">
        <v>0</v>
      </c>
      <c r="F64" s="38" t="n">
        <v>0</v>
      </c>
      <c r="G64" s="38" t="n">
        <v>0</v>
      </c>
      <c r="H64" s="38" t="n">
        <v>0</v>
      </c>
      <c r="I64" s="38" t="n">
        <v>0</v>
      </c>
      <c r="J64" s="38" t="n">
        <v>0</v>
      </c>
      <c r="K64" s="38" t="n">
        <v>0</v>
      </c>
      <c r="L64" s="38" t="n">
        <v>-775</v>
      </c>
      <c r="M64" s="38" t="n">
        <v>-257.3</v>
      </c>
      <c r="N64" s="38" t="n">
        <v>3451178.73</v>
      </c>
      <c r="O64" s="38" t="n">
        <v>3450146.43</v>
      </c>
      <c r="P64" s="38" t="n"/>
      <c r="Q64" s="38" t="n">
        <v>2736353.49</v>
      </c>
      <c r="R64" s="38" t="n">
        <v>2530519.22</v>
      </c>
      <c r="S64" s="38" t="n">
        <v>2728690.5</v>
      </c>
      <c r="T64" s="38" t="n">
        <v>923440.7599999999</v>
      </c>
      <c r="U64" s="38" t="n">
        <v>-79352.87000000002</v>
      </c>
      <c r="V64" s="38" t="n">
        <v>2851151.93</v>
      </c>
      <c r="W64" s="38" t="n">
        <v>2693355.659999999</v>
      </c>
      <c r="X64" s="38" t="n">
        <v>2062703.249999998</v>
      </c>
      <c r="Y64" s="38" t="n">
        <v>5105476.52</v>
      </c>
      <c r="Z64" s="38" t="n">
        <v>16353592.36</v>
      </c>
      <c r="AA64" s="38" t="n">
        <v>14536214.76</v>
      </c>
      <c r="AB64" s="38" t="n">
        <v>17162308.97</v>
      </c>
      <c r="AC64" s="38" t="n">
        <v>69604454.55</v>
      </c>
      <c r="AD64" s="38" t="n"/>
      <c r="AE64" s="38" t="n">
        <v>29352990.19</v>
      </c>
      <c r="AF64" s="38" t="n">
        <v>30984089.49000001</v>
      </c>
      <c r="AG64" s="38" t="n">
        <v>35751255.84999999</v>
      </c>
      <c r="AH64" s="38" t="n">
        <v>51327100.06999999</v>
      </c>
      <c r="AI64" s="38" t="n">
        <v>54076165.13999999</v>
      </c>
      <c r="AJ64" s="38" t="n">
        <v>61393726.05</v>
      </c>
      <c r="AK64" s="38" t="n">
        <v>73913554.14999999</v>
      </c>
      <c r="AL64" s="38" t="n">
        <v>82893060.27000004</v>
      </c>
      <c r="AM64" s="38" t="n">
        <v>88768949.05000003</v>
      </c>
      <c r="AN64" s="38" t="n">
        <v>92420968.23999998</v>
      </c>
      <c r="AO64" s="38" t="n">
        <v>71551977.66000001</v>
      </c>
      <c r="AP64" s="38" t="n">
        <v>67200282.44000001</v>
      </c>
      <c r="AQ64" s="38" t="n">
        <v>739634118.6000001</v>
      </c>
      <c r="AR64" s="38" t="n"/>
      <c r="AS64" s="38" t="n">
        <v>69009083.99999999</v>
      </c>
      <c r="AT64" s="38" t="n">
        <v>52530218.55</v>
      </c>
      <c r="AU64" s="38" t="n">
        <v>45184672.38000002</v>
      </c>
      <c r="AV64" s="38" t="n">
        <v>35217300.34</v>
      </c>
      <c r="AW64" s="38" t="n">
        <v>41966768.83000001</v>
      </c>
      <c r="AX64" s="38" t="n">
        <v>44181003.68000001</v>
      </c>
      <c r="AY64" s="38" t="n">
        <v>42455997.92999999</v>
      </c>
      <c r="AZ64" s="38" t="n">
        <v>33940041.33</v>
      </c>
      <c r="BA64" s="38" t="n">
        <v>33958255.55000001</v>
      </c>
      <c r="BB64" s="38" t="n">
        <v>38132189.65</v>
      </c>
      <c r="BC64" s="38" t="n">
        <v>33959037.02999997</v>
      </c>
      <c r="BD64" s="38" t="n">
        <v>22351714.21</v>
      </c>
      <c r="BE64" s="38" t="n">
        <v>492886283.4799999</v>
      </c>
      <c r="BF64" s="38" t="n"/>
      <c r="BG64" s="38" t="n">
        <v>37608550.60999999</v>
      </c>
      <c r="BH64" s="38" t="n">
        <v>40926483.76000001</v>
      </c>
      <c r="BI64" s="38" t="n">
        <v>75485944.22000001</v>
      </c>
      <c r="BJ64" s="38" t="n">
        <v>71213284.87</v>
      </c>
      <c r="BK64" s="38" t="n">
        <v>91716572.3</v>
      </c>
      <c r="BL64" s="38" t="n">
        <v>73303534.68999997</v>
      </c>
      <c r="BM64" s="38" t="n">
        <v>64736185.30999999</v>
      </c>
    </row>
    <row r="65"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</row>
    <row r="66">
      <c r="A66" t="inlineStr">
        <is>
          <t>Workover Expense: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</row>
    <row r="67">
      <c r="A67" t="inlineStr">
        <is>
          <t>5450 - WOE - CEMENT &amp; CEMENT SERVICES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  <c r="AL67" s="38" t="inlineStr"/>
      <c r="AM67" s="38" t="inlineStr"/>
      <c r="AN67" s="38" t="inlineStr"/>
      <c r="AO67" s="38" t="inlineStr"/>
      <c r="AP67" s="38" t="inlineStr"/>
      <c r="AQ67" s="38" t="n">
        <v>0</v>
      </c>
      <c r="AR67" s="38" t="n"/>
      <c r="AS67" s="38" t="inlineStr"/>
      <c r="AT67" s="38" t="inlineStr"/>
      <c r="AU67" s="38" t="inlineStr"/>
      <c r="AV67" s="38" t="inlineStr"/>
      <c r="AW67" s="38" t="inlineStr"/>
      <c r="AX67" s="38" t="inlineStr"/>
      <c r="AY67" s="38" t="inlineStr"/>
      <c r="AZ67" s="38" t="inlineStr"/>
      <c r="BA67" s="38" t="inlineStr"/>
      <c r="BB67" s="38" t="inlineStr"/>
      <c r="BC67" s="38" t="inlineStr"/>
      <c r="BD67" s="38" t="inlineStr"/>
      <c r="BE67" s="38" t="n">
        <v>0</v>
      </c>
      <c r="BF67" s="38" t="n"/>
      <c r="BG67" s="38" t="n">
        <v>12033.92</v>
      </c>
      <c r="BH67" s="38" t="inlineStr"/>
      <c r="BI67" s="38" t="inlineStr"/>
      <c r="BJ67" s="38" t="inlineStr"/>
      <c r="BK67" s="38" t="inlineStr"/>
      <c r="BL67" s="38" t="inlineStr"/>
      <c r="BM67" s="38" t="inlineStr"/>
    </row>
    <row r="68">
      <c r="A68" t="inlineStr">
        <is>
          <t>5451 - WOE - CHEMICALS &amp; TREATING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inlineStr"/>
      <c r="S68" s="38" t="inlineStr"/>
      <c r="T68" s="38" t="inlineStr"/>
      <c r="U68" s="38" t="inlineStr"/>
      <c r="V68" s="38" t="inlineStr"/>
      <c r="W68" s="38" t="inlineStr"/>
      <c r="X68" s="38" t="n">
        <v>1306.47</v>
      </c>
      <c r="Y68" s="38" t="inlineStr"/>
      <c r="Z68" s="38" t="n">
        <v>3676.09</v>
      </c>
      <c r="AA68" s="38" t="n">
        <v>246.19</v>
      </c>
      <c r="AB68" s="38" t="inlineStr"/>
      <c r="AC68" s="38" t="n">
        <v>5228.75</v>
      </c>
      <c r="AD68" s="38" t="n"/>
      <c r="AE68" s="38" t="inlineStr"/>
      <c r="AF68" s="38" t="inlineStr"/>
      <c r="AG68" s="38" t="n">
        <v>2403.88</v>
      </c>
      <c r="AH68" s="38" t="n">
        <v>7049.16</v>
      </c>
      <c r="AI68" s="38" t="inlineStr"/>
      <c r="AJ68" s="38" t="n">
        <v>19921.3</v>
      </c>
      <c r="AK68" s="38" t="n">
        <v>16437.25</v>
      </c>
      <c r="AL68" s="38" t="n">
        <v>17932.9</v>
      </c>
      <c r="AM68" s="38" t="n">
        <v>15643.52</v>
      </c>
      <c r="AN68" s="38" t="inlineStr"/>
      <c r="AO68" s="38" t="n">
        <v>10435.17</v>
      </c>
      <c r="AP68" s="38" t="inlineStr"/>
      <c r="AQ68" s="38" t="n">
        <v>89823.17999999999</v>
      </c>
      <c r="AR68" s="38" t="n"/>
      <c r="AS68" s="38" t="n">
        <v>31082.62</v>
      </c>
      <c r="AT68" s="38" t="n">
        <v>53329.54999999998</v>
      </c>
      <c r="AU68" s="38" t="n">
        <v>1447.6</v>
      </c>
      <c r="AV68" s="38" t="n">
        <v>48.04</v>
      </c>
      <c r="AW68" s="38" t="n">
        <v>711.65</v>
      </c>
      <c r="AX68" s="38" t="n">
        <v>14916.84</v>
      </c>
      <c r="AY68" s="38" t="n">
        <v>61183.20000000001</v>
      </c>
      <c r="AZ68" s="38" t="inlineStr"/>
      <c r="BA68" s="38" t="inlineStr"/>
      <c r="BB68" s="38" t="n">
        <v>928.3000000000001</v>
      </c>
      <c r="BC68" s="38" t="n">
        <v>22429.82</v>
      </c>
      <c r="BD68" s="38" t="n">
        <v>21685.64</v>
      </c>
      <c r="BE68" s="38" t="n">
        <v>207763.26</v>
      </c>
      <c r="BF68" s="38" t="n"/>
      <c r="BG68" s="38" t="inlineStr"/>
      <c r="BH68" s="38" t="inlineStr"/>
      <c r="BI68" s="38" t="inlineStr"/>
      <c r="BJ68" s="38" t="inlineStr"/>
      <c r="BK68" s="38" t="inlineStr"/>
      <c r="BL68" s="38" t="inlineStr"/>
      <c r="BM68" s="38" t="inlineStr"/>
    </row>
    <row r="69">
      <c r="A69" t="inlineStr">
        <is>
          <t>5452 - WOE - COMPANY VEHICLE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inlineStr"/>
      <c r="V69" s="38" t="inlineStr"/>
      <c r="W69" s="38" t="inlineStr"/>
      <c r="X69" s="38" t="inlineStr"/>
      <c r="Y69" s="38" t="inlineStr"/>
      <c r="Z69" s="38" t="inlineStr"/>
      <c r="AA69" s="38" t="inlineStr"/>
      <c r="AB69" s="38" t="inlineStr"/>
      <c r="AC69" s="38" t="n">
        <v>0</v>
      </c>
      <c r="AD69" s="38" t="n"/>
      <c r="AE69" s="38" t="inlineStr"/>
      <c r="AF69" s="38" t="inlineStr"/>
      <c r="AG69" s="38" t="inlineStr"/>
      <c r="AH69" s="38" t="inlineStr"/>
      <c r="AI69" s="38" t="inlineStr"/>
      <c r="AJ69" s="38" t="inlineStr"/>
      <c r="AK69" s="38" t="inlineStr"/>
      <c r="AL69" s="38" t="inlineStr"/>
      <c r="AM69" s="38" t="inlineStr"/>
      <c r="AN69" s="38" t="inlineStr"/>
      <c r="AO69" s="38" t="inlineStr"/>
      <c r="AP69" s="38" t="inlineStr"/>
      <c r="AQ69" s="38" t="n">
        <v>0</v>
      </c>
      <c r="AR69" s="38" t="n"/>
      <c r="AS69" s="38" t="inlineStr"/>
      <c r="AT69" s="38" t="inlineStr"/>
      <c r="AU69" s="38" t="inlineStr"/>
      <c r="AV69" s="38" t="inlineStr"/>
      <c r="AW69" s="38" t="inlineStr"/>
      <c r="AX69" s="38" t="inlineStr"/>
      <c r="AY69" s="38" t="inlineStr"/>
      <c r="AZ69" s="38" t="inlineStr"/>
      <c r="BA69" s="38" t="inlineStr"/>
      <c r="BB69" s="38" t="inlineStr"/>
      <c r="BC69" s="38" t="inlineStr"/>
      <c r="BD69" s="38" t="inlineStr"/>
      <c r="BE69" s="38" t="n">
        <v>0</v>
      </c>
      <c r="BF69" s="38" t="n"/>
      <c r="BG69" s="38" t="inlineStr"/>
      <c r="BH69" s="38" t="inlineStr"/>
      <c r="BI69" s="38" t="inlineStr"/>
      <c r="BJ69" s="38" t="inlineStr"/>
      <c r="BK69" s="38" t="inlineStr"/>
      <c r="BL69" s="38" t="inlineStr"/>
      <c r="BM69" s="38" t="inlineStr"/>
    </row>
    <row r="70">
      <c r="A70" t="inlineStr">
        <is>
          <t>5453 - WOE - CONSULTING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  <c r="J70" s="38" t="inlineStr"/>
      <c r="K70" s="38" t="inlineStr"/>
      <c r="L70" s="38" t="inlineStr"/>
      <c r="M70" s="38" t="inlineStr"/>
      <c r="N70" s="38" t="inlineStr"/>
      <c r="O70" s="38" t="n">
        <v>0</v>
      </c>
      <c r="P70" s="38" t="n"/>
      <c r="Q70" s="38" t="n">
        <v>401.24</v>
      </c>
      <c r="R70" s="38" t="n">
        <v>246.98</v>
      </c>
      <c r="S70" s="38" t="n">
        <v>10011.13</v>
      </c>
      <c r="T70" s="38" t="n">
        <v>404.8399999999999</v>
      </c>
      <c r="U70" s="38" t="n">
        <v>245.91</v>
      </c>
      <c r="V70" s="38" t="n">
        <v>9937.67</v>
      </c>
      <c r="W70" s="38" t="n">
        <v>29682.37</v>
      </c>
      <c r="X70" s="38" t="n">
        <v>13271.38</v>
      </c>
      <c r="Y70" s="38" t="n">
        <v>8398.549999999996</v>
      </c>
      <c r="Z70" s="38" t="n">
        <v>25753.96</v>
      </c>
      <c r="AA70" s="38" t="n">
        <v>23220.14</v>
      </c>
      <c r="AB70" s="38" t="n">
        <v>2830.96</v>
      </c>
      <c r="AC70" s="38" t="n">
        <v>124405.13</v>
      </c>
      <c r="AD70" s="38" t="n"/>
      <c r="AE70" s="38" t="n">
        <v>6828.35</v>
      </c>
      <c r="AF70" s="38" t="n">
        <v>30837.4</v>
      </c>
      <c r="AG70" s="38" t="n">
        <v>5232.209999999999</v>
      </c>
      <c r="AH70" s="38" t="n">
        <v>10750.55</v>
      </c>
      <c r="AI70" s="38" t="n">
        <v>10921.97</v>
      </c>
      <c r="AJ70" s="38" t="n">
        <v>459.6299999999998</v>
      </c>
      <c r="AK70" s="38" t="n">
        <v>10694.59</v>
      </c>
      <c r="AL70" s="38" t="n">
        <v>2962.969999999999</v>
      </c>
      <c r="AM70" s="38" t="n">
        <v>4203.669999999998</v>
      </c>
      <c r="AN70" s="38" t="n">
        <v>2036.73</v>
      </c>
      <c r="AO70" s="38" t="n">
        <v>482.2899999999999</v>
      </c>
      <c r="AP70" s="38" t="n">
        <v>6272.52</v>
      </c>
      <c r="AQ70" s="38" t="n">
        <v>91682.87999999999</v>
      </c>
      <c r="AR70" s="38" t="n"/>
      <c r="AS70" s="38" t="n">
        <v>3386.02</v>
      </c>
      <c r="AT70" s="38" t="n">
        <v>11384.12</v>
      </c>
      <c r="AU70" s="38" t="n">
        <v>16928.02</v>
      </c>
      <c r="AV70" s="38" t="n">
        <v>9757.33</v>
      </c>
      <c r="AW70" s="38" t="n">
        <v>20138.19</v>
      </c>
      <c r="AX70" s="38" t="n">
        <v>22017.77</v>
      </c>
      <c r="AY70" s="38" t="n">
        <v>6886.27</v>
      </c>
      <c r="AZ70" s="38" t="n">
        <v>14562.53</v>
      </c>
      <c r="BA70" s="38" t="n">
        <v>49.37</v>
      </c>
      <c r="BB70" s="38" t="n">
        <v>27150.03</v>
      </c>
      <c r="BC70" s="38" t="n">
        <v>14696.76</v>
      </c>
      <c r="BD70" s="38" t="n">
        <v>9147.450000000001</v>
      </c>
      <c r="BE70" s="38" t="n">
        <v>156103.86</v>
      </c>
      <c r="BF70" s="38" t="n"/>
      <c r="BG70" s="38" t="n">
        <v>4784.870000000001</v>
      </c>
      <c r="BH70" s="38" t="n">
        <v>9268.410000000002</v>
      </c>
      <c r="BI70" s="38" t="n">
        <v>28300.81</v>
      </c>
      <c r="BJ70" s="38" t="n">
        <v>1982.76</v>
      </c>
      <c r="BK70" s="38" t="n">
        <v>9478.9</v>
      </c>
      <c r="BL70" s="38" t="n">
        <v>5700</v>
      </c>
      <c r="BM70" s="38" t="n">
        <v>3372.209999999998</v>
      </c>
    </row>
    <row r="71">
      <c r="A71" t="inlineStr">
        <is>
          <t>5454 - WOE - CONTRACT LABOR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inlineStr"/>
      <c r="M71" s="38" t="inlineStr"/>
      <c r="N71" s="38" t="inlineStr"/>
      <c r="O71" s="38" t="n">
        <v>0</v>
      </c>
      <c r="P71" s="38" t="n"/>
      <c r="Q71" s="38" t="inlineStr"/>
      <c r="R71" s="38" t="inlineStr"/>
      <c r="S71" s="38" t="inlineStr"/>
      <c r="T71" s="38" t="inlineStr"/>
      <c r="U71" s="38" t="n">
        <v>266.41</v>
      </c>
      <c r="V71" s="38" t="n">
        <v>474.21</v>
      </c>
      <c r="W71" s="38" t="n">
        <v>86507.35000000001</v>
      </c>
      <c r="X71" s="38" t="inlineStr"/>
      <c r="Y71" s="38" t="n">
        <v>1078.39</v>
      </c>
      <c r="Z71" s="38" t="n">
        <v>13920.63</v>
      </c>
      <c r="AA71" s="38" t="inlineStr"/>
      <c r="AB71" s="38" t="n">
        <v>3381.4</v>
      </c>
      <c r="AC71" s="38" t="n">
        <v>105628.39</v>
      </c>
      <c r="AD71" s="38" t="n"/>
      <c r="AE71" s="38" t="n">
        <v>12146.73</v>
      </c>
      <c r="AF71" s="38" t="n">
        <v>14754.35</v>
      </c>
      <c r="AG71" s="38" t="n">
        <v>4772</v>
      </c>
      <c r="AH71" s="38" t="n">
        <v>9160.35</v>
      </c>
      <c r="AI71" s="38" t="n">
        <v>6156.25</v>
      </c>
      <c r="AJ71" s="38" t="n">
        <v>2220.39</v>
      </c>
      <c r="AK71" s="38" t="n">
        <v>20480.19</v>
      </c>
      <c r="AL71" s="38" t="n">
        <v>15468.5</v>
      </c>
      <c r="AM71" s="38" t="n">
        <v>37625.27</v>
      </c>
      <c r="AN71" s="38" t="n">
        <v>76825.20000000003</v>
      </c>
      <c r="AO71" s="38" t="inlineStr"/>
      <c r="AP71" s="38" t="n">
        <v>18104.25</v>
      </c>
      <c r="AQ71" s="38" t="n">
        <v>217713.48</v>
      </c>
      <c r="AR71" s="38" t="n"/>
      <c r="AS71" s="38" t="n">
        <v>34731.72</v>
      </c>
      <c r="AT71" s="38" t="n">
        <v>131909.88</v>
      </c>
      <c r="AU71" s="38" t="n">
        <v>35927.5</v>
      </c>
      <c r="AV71" s="38" t="n">
        <v>33615.94</v>
      </c>
      <c r="AW71" s="38" t="n">
        <v>104509.69</v>
      </c>
      <c r="AX71" s="38" t="n">
        <v>34175.73</v>
      </c>
      <c r="AY71" s="38" t="n">
        <v>15306.65</v>
      </c>
      <c r="AZ71" s="38" t="n">
        <v>42019.13</v>
      </c>
      <c r="BA71" s="38" t="inlineStr"/>
      <c r="BB71" s="38" t="n">
        <v>86661.84999999999</v>
      </c>
      <c r="BC71" s="38" t="n">
        <v>40616.16</v>
      </c>
      <c r="BD71" s="38" t="n">
        <v>32690.69</v>
      </c>
      <c r="BE71" s="38" t="n">
        <v>592164.9399999999</v>
      </c>
      <c r="BF71" s="38" t="n"/>
      <c r="BG71" s="38" t="n">
        <v>18818.55</v>
      </c>
      <c r="BH71" s="38" t="n">
        <v>27252.51</v>
      </c>
      <c r="BI71" s="38" t="n">
        <v>111066.24</v>
      </c>
      <c r="BJ71" s="38" t="n">
        <v>2863.76</v>
      </c>
      <c r="BK71" s="38" t="n">
        <v>58356.89</v>
      </c>
      <c r="BL71" s="38" t="n">
        <v>39117.44</v>
      </c>
      <c r="BM71" s="38" t="inlineStr"/>
    </row>
    <row r="72">
      <c r="A72" t="inlineStr">
        <is>
          <t>5455 - WOE - EQUIPMENT RENTAL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inlineStr"/>
      <c r="N72" s="38" t="inlineStr"/>
      <c r="O72" s="38" t="n">
        <v>0</v>
      </c>
      <c r="P72" s="38" t="n"/>
      <c r="Q72" s="38" t="inlineStr"/>
      <c r="R72" s="38" t="inlineStr"/>
      <c r="S72" s="38" t="n">
        <v>3777.93</v>
      </c>
      <c r="T72" s="38" t="n">
        <v>15015.93</v>
      </c>
      <c r="U72" s="38" t="n">
        <v>10016.83</v>
      </c>
      <c r="V72" s="38" t="n">
        <v>4975.4</v>
      </c>
      <c r="W72" s="38" t="n">
        <v>27087.07</v>
      </c>
      <c r="X72" s="38" t="n">
        <v>32129.89</v>
      </c>
      <c r="Y72" s="38" t="n">
        <v>23342.92</v>
      </c>
      <c r="Z72" s="38" t="n">
        <v>10191.46</v>
      </c>
      <c r="AA72" s="38" t="n">
        <v>19009.85</v>
      </c>
      <c r="AB72" s="38" t="n">
        <v>5460.93</v>
      </c>
      <c r="AC72" s="38" t="n">
        <v>151008.21</v>
      </c>
      <c r="AD72" s="38" t="n"/>
      <c r="AE72" s="38" t="n">
        <v>11752.08</v>
      </c>
      <c r="AF72" s="38" t="n">
        <v>79529.96999999999</v>
      </c>
      <c r="AG72" s="38" t="n">
        <v>1175.6</v>
      </c>
      <c r="AH72" s="38" t="n">
        <v>58399.91</v>
      </c>
      <c r="AI72" s="38" t="n">
        <v>5630.98</v>
      </c>
      <c r="AJ72" s="38" t="inlineStr"/>
      <c r="AK72" s="38" t="n">
        <v>13486.12</v>
      </c>
      <c r="AL72" s="38" t="n">
        <v>8277.49</v>
      </c>
      <c r="AM72" s="38" t="n">
        <v>18718.88</v>
      </c>
      <c r="AN72" s="38" t="n">
        <v>15883.29</v>
      </c>
      <c r="AO72" s="38" t="inlineStr"/>
      <c r="AP72" s="38" t="n">
        <v>19475.93</v>
      </c>
      <c r="AQ72" s="38" t="n">
        <v>232330.25</v>
      </c>
      <c r="AR72" s="38" t="n"/>
      <c r="AS72" s="38" t="n">
        <v>4744.92</v>
      </c>
      <c r="AT72" s="38" t="n">
        <v>44364.85999999999</v>
      </c>
      <c r="AU72" s="38" t="n">
        <v>16978.5</v>
      </c>
      <c r="AV72" s="38" t="n">
        <v>23928.34999999998</v>
      </c>
      <c r="AW72" s="38" t="n">
        <v>48051.75999999999</v>
      </c>
      <c r="AX72" s="38" t="n">
        <v>55134.09</v>
      </c>
      <c r="AY72" s="38" t="n">
        <v>15344.73</v>
      </c>
      <c r="AZ72" s="38" t="n">
        <v>37075.45999999999</v>
      </c>
      <c r="BA72" s="38" t="n">
        <v>425.49</v>
      </c>
      <c r="BB72" s="38" t="n">
        <v>21546.82</v>
      </c>
      <c r="BC72" s="38" t="n">
        <v>23601.94</v>
      </c>
      <c r="BD72" s="38" t="n">
        <v>27747.71</v>
      </c>
      <c r="BE72" s="38" t="n">
        <v>318944.6299999999</v>
      </c>
      <c r="BF72" s="38" t="n"/>
      <c r="BG72" s="38" t="n">
        <v>12848.09</v>
      </c>
      <c r="BH72" s="38" t="n">
        <v>4728.300000000002</v>
      </c>
      <c r="BI72" s="38" t="n">
        <v>16414.32</v>
      </c>
      <c r="BJ72" s="38" t="inlineStr"/>
      <c r="BK72" s="38" t="n">
        <v>18001.94</v>
      </c>
      <c r="BL72" s="38" t="n">
        <v>1760.31</v>
      </c>
      <c r="BM72" s="38" t="n">
        <v>1786.2</v>
      </c>
    </row>
    <row r="73">
      <c r="A73" t="inlineStr">
        <is>
          <t>5456 - WOE - FOREMAN/SUPERVISION LAB.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n">
        <v>518.28</v>
      </c>
      <c r="AF73" s="38" t="n">
        <v>1577.23</v>
      </c>
      <c r="AG73" s="38" t="inlineStr"/>
      <c r="AH73" s="38" t="inlineStr"/>
      <c r="AI73" s="38" t="inlineStr"/>
      <c r="AJ73" s="38" t="inlineStr"/>
      <c r="AK73" s="38" t="inlineStr"/>
      <c r="AL73" s="38" t="inlineStr"/>
      <c r="AM73" s="38" t="inlineStr"/>
      <c r="AN73" s="38" t="inlineStr"/>
      <c r="AO73" s="38" t="inlineStr"/>
      <c r="AP73" s="38" t="inlineStr"/>
      <c r="AQ73" s="38" t="n">
        <v>2095.51</v>
      </c>
      <c r="AR73" s="38" t="n"/>
      <c r="AS73" s="38" t="inlineStr"/>
      <c r="AT73" s="38" t="inlineStr"/>
      <c r="AU73" s="38" t="inlineStr"/>
      <c r="AV73" s="38" t="inlineStr"/>
      <c r="AW73" s="38" t="inlineStr"/>
      <c r="AX73" s="38" t="inlineStr"/>
      <c r="AY73" s="38" t="inlineStr"/>
      <c r="AZ73" s="38" t="inlineStr"/>
      <c r="BA73" s="38" t="inlineStr"/>
      <c r="BB73" s="38" t="inlineStr"/>
      <c r="BC73" s="38" t="inlineStr"/>
      <c r="BD73" s="38" t="inlineStr"/>
      <c r="BE73" s="38" t="n">
        <v>0</v>
      </c>
      <c r="BF73" s="38" t="n"/>
      <c r="BG73" s="38" t="inlineStr"/>
      <c r="BH73" s="38" t="inlineStr"/>
      <c r="BI73" s="38" t="inlineStr"/>
      <c r="BJ73" s="38" t="inlineStr"/>
      <c r="BK73" s="38" t="inlineStr"/>
      <c r="BL73" s="38" t="inlineStr"/>
      <c r="BM73" s="38" t="inlineStr"/>
    </row>
    <row r="74">
      <c r="A74" t="inlineStr">
        <is>
          <t>5457 - WOE - HAULING &amp; TRANSPORTATION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inlineStr"/>
      <c r="N74" s="38" t="inlineStr"/>
      <c r="O74" s="38" t="n">
        <v>0</v>
      </c>
      <c r="P74" s="38" t="n"/>
      <c r="Q74" s="38" t="inlineStr"/>
      <c r="R74" s="38" t="inlineStr"/>
      <c r="S74" s="38" t="inlineStr"/>
      <c r="T74" s="38" t="n">
        <v>9963</v>
      </c>
      <c r="U74" s="38" t="n">
        <v>5331.75</v>
      </c>
      <c r="V74" s="38" t="n">
        <v>5977.62</v>
      </c>
      <c r="W74" s="38" t="n">
        <v>8250</v>
      </c>
      <c r="X74" s="38" t="n">
        <v>4313.440000000001</v>
      </c>
      <c r="Y74" s="38" t="n">
        <v>3707.55</v>
      </c>
      <c r="Z74" s="38" t="n">
        <v>14906.66</v>
      </c>
      <c r="AA74" s="38" t="n">
        <v>1488.27</v>
      </c>
      <c r="AB74" s="38" t="n">
        <v>410.14</v>
      </c>
      <c r="AC74" s="38" t="n">
        <v>54348.43</v>
      </c>
      <c r="AD74" s="38" t="n"/>
      <c r="AE74" s="38" t="n">
        <v>6594.27</v>
      </c>
      <c r="AF74" s="38" t="n">
        <v>14939.98</v>
      </c>
      <c r="AG74" s="38" t="n">
        <v>391.87</v>
      </c>
      <c r="AH74" s="38" t="n">
        <v>0</v>
      </c>
      <c r="AI74" s="38" t="n">
        <v>1941.53</v>
      </c>
      <c r="AJ74" s="38" t="inlineStr"/>
      <c r="AK74" s="38" t="n">
        <v>465.96</v>
      </c>
      <c r="AL74" s="38" t="n">
        <v>897.0599999999999</v>
      </c>
      <c r="AM74" s="38" t="inlineStr"/>
      <c r="AN74" s="38" t="inlineStr"/>
      <c r="AO74" s="38" t="inlineStr"/>
      <c r="AP74" s="38" t="n">
        <v>433</v>
      </c>
      <c r="AQ74" s="38" t="n">
        <v>25663.67</v>
      </c>
      <c r="AR74" s="38" t="n"/>
      <c r="AS74" s="38" t="inlineStr"/>
      <c r="AT74" s="38" t="n">
        <v>931.9299999999999</v>
      </c>
      <c r="AU74" s="38" t="inlineStr"/>
      <c r="AV74" s="38" t="inlineStr"/>
      <c r="AW74" s="38" t="n">
        <v>9503.83</v>
      </c>
      <c r="AX74" s="38" t="n">
        <v>5026.400000000001</v>
      </c>
      <c r="AY74" s="38" t="n">
        <v>2609.47</v>
      </c>
      <c r="AZ74" s="38" t="n">
        <v>6481.13</v>
      </c>
      <c r="BA74" s="38" t="inlineStr"/>
      <c r="BB74" s="38" t="n">
        <v>14465.26</v>
      </c>
      <c r="BC74" s="38" t="n">
        <v>4561.000000000001</v>
      </c>
      <c r="BD74" s="38" t="n">
        <v>7358.57</v>
      </c>
      <c r="BE74" s="38" t="n">
        <v>50937.59</v>
      </c>
      <c r="BF74" s="38" t="n"/>
      <c r="BG74" s="38" t="n">
        <v>3249.28</v>
      </c>
      <c r="BH74" s="38" t="n">
        <v>2058.029999999999</v>
      </c>
      <c r="BI74" s="38" t="n">
        <v>20236.47</v>
      </c>
      <c r="BJ74" s="38" t="inlineStr"/>
      <c r="BK74" s="38" t="n">
        <v>2213.67</v>
      </c>
      <c r="BL74" s="38" t="n">
        <v>4442.190000000001</v>
      </c>
      <c r="BM74" s="38" t="n">
        <v>824.5</v>
      </c>
    </row>
    <row r="75">
      <c r="A75" t="inlineStr">
        <is>
          <t>5458 - WOE - INSURANCE &amp; BONDS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inlineStr"/>
      <c r="R75" s="38" t="inlineStr"/>
      <c r="S75" s="38" t="inlineStr"/>
      <c r="T75" s="38" t="inlineStr"/>
      <c r="U75" s="38" t="inlineStr"/>
      <c r="V75" s="38" t="inlineStr"/>
      <c r="W75" s="38" t="inlineStr"/>
      <c r="X75" s="38" t="inlineStr"/>
      <c r="Y75" s="38" t="inlineStr"/>
      <c r="Z75" s="38" t="inlineStr"/>
      <c r="AA75" s="38" t="inlineStr"/>
      <c r="AB75" s="38" t="inlineStr"/>
      <c r="AC75" s="38" t="n">
        <v>0</v>
      </c>
      <c r="AD75" s="38" t="n"/>
      <c r="AE75" s="38" t="inlineStr"/>
      <c r="AF75" s="38" t="inlineStr"/>
      <c r="AG75" s="38" t="inlineStr"/>
      <c r="AH75" s="38" t="inlineStr"/>
      <c r="AI75" s="38" t="inlineStr"/>
      <c r="AJ75" s="38" t="inlineStr"/>
      <c r="AK75" s="38" t="inlineStr"/>
      <c r="AL75" s="38" t="inlineStr"/>
      <c r="AM75" s="38" t="inlineStr"/>
      <c r="AN75" s="38" t="inlineStr"/>
      <c r="AO75" s="38" t="inlineStr"/>
      <c r="AP75" s="38" t="n">
        <v>2053.09</v>
      </c>
      <c r="AQ75" s="38" t="n">
        <v>2053.09</v>
      </c>
      <c r="AR75" s="38" t="n"/>
      <c r="AS75" s="38" t="inlineStr"/>
      <c r="AT75" s="38" t="inlineStr"/>
      <c r="AU75" s="38" t="inlineStr"/>
      <c r="AV75" s="38" t="inlineStr"/>
      <c r="AW75" s="38" t="inlineStr"/>
      <c r="AX75" s="38" t="inlineStr"/>
      <c r="AY75" s="38" t="inlineStr"/>
      <c r="AZ75" s="38" t="inlineStr"/>
      <c r="BA75" s="38" t="inlineStr"/>
      <c r="BB75" s="38" t="inlineStr"/>
      <c r="BC75" s="38" t="inlineStr"/>
      <c r="BD75" s="38" t="inlineStr"/>
      <c r="BE75" s="38" t="n">
        <v>0</v>
      </c>
      <c r="BF75" s="38" t="n"/>
      <c r="BG75" s="38" t="inlineStr"/>
      <c r="BH75" s="38" t="inlineStr"/>
      <c r="BI75" s="38" t="inlineStr"/>
      <c r="BJ75" s="38" t="inlineStr"/>
      <c r="BK75" s="38" t="inlineStr"/>
      <c r="BL75" s="38" t="inlineStr"/>
      <c r="BM75" s="38" t="inlineStr"/>
    </row>
    <row r="76">
      <c r="A76" t="inlineStr">
        <is>
          <t>5459 - WOE - LOCATION &amp; ROADS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n">
        <v>1962.03</v>
      </c>
      <c r="AG76" s="38" t="inlineStr"/>
      <c r="AH76" s="38" t="inlineStr"/>
      <c r="AI76" s="38" t="inlineStr"/>
      <c r="AJ76" s="38" t="inlineStr"/>
      <c r="AK76" s="38" t="inlineStr"/>
      <c r="AL76" s="38" t="inlineStr"/>
      <c r="AM76" s="38" t="inlineStr"/>
      <c r="AN76" s="38" t="inlineStr"/>
      <c r="AO76" s="38" t="inlineStr"/>
      <c r="AP76" s="38" t="inlineStr"/>
      <c r="AQ76" s="38" t="n">
        <v>1962.03</v>
      </c>
      <c r="AR76" s="38" t="n"/>
      <c r="AS76" s="38" t="inlineStr"/>
      <c r="AT76" s="38" t="inlineStr"/>
      <c r="AU76" s="38" t="inlineStr"/>
      <c r="AV76" s="38" t="inlineStr"/>
      <c r="AW76" s="38" t="inlineStr"/>
      <c r="AX76" s="38" t="inlineStr"/>
      <c r="AY76" s="38" t="inlineStr"/>
      <c r="AZ76" s="38" t="inlineStr"/>
      <c r="BA76" s="38" t="inlineStr"/>
      <c r="BB76" s="38" t="inlineStr"/>
      <c r="BC76" s="38" t="inlineStr"/>
      <c r="BD76" s="38" t="inlineStr"/>
      <c r="BE76" s="38" t="n">
        <v>0</v>
      </c>
      <c r="BF76" s="38" t="n"/>
      <c r="BG76" s="38" t="inlineStr"/>
      <c r="BH76" s="38" t="inlineStr"/>
      <c r="BI76" s="38" t="inlineStr"/>
      <c r="BJ76" s="38" t="inlineStr"/>
      <c r="BK76" s="38" t="inlineStr"/>
      <c r="BL76" s="38" t="inlineStr"/>
      <c r="BM76" s="38" t="inlineStr"/>
    </row>
    <row r="77">
      <c r="A77" t="inlineStr">
        <is>
          <t>5460 - WOE - NON-OPERATED WELLS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inlineStr"/>
      <c r="V77" s="38" t="n">
        <v>216.5</v>
      </c>
      <c r="W77" s="38" t="n">
        <v>27965.00000000005</v>
      </c>
      <c r="X77" s="38" t="n">
        <v>11338.11000000001</v>
      </c>
      <c r="Y77" s="38" t="n">
        <v>11717.96</v>
      </c>
      <c r="Z77" s="38" t="n">
        <v>10735.37</v>
      </c>
      <c r="AA77" s="38" t="n">
        <v>57754.42999999999</v>
      </c>
      <c r="AB77" s="38" t="n">
        <v>5282.490000000002</v>
      </c>
      <c r="AC77" s="38" t="n">
        <v>125009.8600000001</v>
      </c>
      <c r="AD77" s="38" t="n"/>
      <c r="AE77" s="38" t="n">
        <v>40018.56000000001</v>
      </c>
      <c r="AF77" s="38" t="n">
        <v>16300.65</v>
      </c>
      <c r="AG77" s="38" t="n">
        <v>44069.14</v>
      </c>
      <c r="AH77" s="38" t="n">
        <v>28327.39000000001</v>
      </c>
      <c r="AI77" s="38" t="n">
        <v>7750.439999999996</v>
      </c>
      <c r="AJ77" s="38" t="n">
        <v>8188.860000000006</v>
      </c>
      <c r="AK77" s="38" t="n">
        <v>29185.57000000001</v>
      </c>
      <c r="AL77" s="38" t="n">
        <v>38359.88999999998</v>
      </c>
      <c r="AM77" s="38" t="n">
        <v>53485.84999999999</v>
      </c>
      <c r="AN77" s="38" t="n">
        <v>11643.65</v>
      </c>
      <c r="AO77" s="38" t="n">
        <v>5713.850000000001</v>
      </c>
      <c r="AP77" s="38" t="n">
        <v>17196.87</v>
      </c>
      <c r="AQ77" s="38" t="n">
        <v>300240.72</v>
      </c>
      <c r="AR77" s="38" t="n"/>
      <c r="AS77" s="38" t="n">
        <v>20346.19</v>
      </c>
      <c r="AT77" s="38" t="n">
        <v>23396.95</v>
      </c>
      <c r="AU77" s="38" t="n">
        <v>27067.61</v>
      </c>
      <c r="AV77" s="38" t="n">
        <v>1282.44</v>
      </c>
      <c r="AW77" s="38" t="n">
        <v>10256.48</v>
      </c>
      <c r="AX77" s="38" t="n">
        <v>9584.160000000002</v>
      </c>
      <c r="AY77" s="38" t="n">
        <v>20807.79</v>
      </c>
      <c r="AZ77" s="38" t="n">
        <v>12672.91999999999</v>
      </c>
      <c r="BA77" s="38" t="n">
        <v>49097.83</v>
      </c>
      <c r="BB77" s="38" t="n">
        <v>18569.67</v>
      </c>
      <c r="BC77" s="38" t="n">
        <v>2633.98</v>
      </c>
      <c r="BD77" s="38" t="n">
        <v>2032.84</v>
      </c>
      <c r="BE77" s="38" t="n">
        <v>197748.86</v>
      </c>
      <c r="BF77" s="38" t="n"/>
      <c r="BG77" s="38" t="n">
        <v>3976.02</v>
      </c>
      <c r="BH77" s="38" t="n">
        <v>3928.129999999999</v>
      </c>
      <c r="BI77" s="38" t="n">
        <v>9649.49</v>
      </c>
      <c r="BJ77" s="38" t="n">
        <v>5614.14</v>
      </c>
      <c r="BK77" s="38" t="n">
        <v>6371.050000000003</v>
      </c>
      <c r="BL77" s="38" t="n">
        <v>6614.89</v>
      </c>
      <c r="BM77" s="38" t="inlineStr"/>
    </row>
    <row r="78">
      <c r="A78" t="inlineStr">
        <is>
          <t>5461 - WOE - PUMPING / GAUGER LABOR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inlineStr"/>
      <c r="AK78" s="38" t="inlineStr"/>
      <c r="AL78" s="38" t="inlineStr"/>
      <c r="AM78" s="38" t="inlineStr"/>
      <c r="AN78" s="38" t="inlineStr"/>
      <c r="AO78" s="38" t="inlineStr"/>
      <c r="AP78" s="38" t="inlineStr"/>
      <c r="AQ78" s="38" t="n">
        <v>0</v>
      </c>
      <c r="AR78" s="38" t="n"/>
      <c r="AS78" s="38" t="inlineStr"/>
      <c r="AT78" s="38" t="inlineStr"/>
      <c r="AU78" s="38" t="inlineStr"/>
      <c r="AV78" s="38" t="inlineStr"/>
      <c r="AW78" s="38" t="inlineStr"/>
      <c r="AX78" s="38" t="inlineStr"/>
      <c r="AY78" s="38" t="inlineStr"/>
      <c r="AZ78" s="38" t="inlineStr"/>
      <c r="BA78" s="38" t="inlineStr"/>
      <c r="BB78" s="38" t="inlineStr"/>
      <c r="BC78" s="38" t="inlineStr"/>
      <c r="BD78" s="38" t="inlineStr"/>
      <c r="BE78" s="38" t="n">
        <v>0</v>
      </c>
      <c r="BF78" s="38" t="n"/>
      <c r="BG78" s="38" t="inlineStr"/>
      <c r="BH78" s="38" t="inlineStr"/>
      <c r="BI78" s="38" t="inlineStr"/>
      <c r="BJ78" s="38" t="inlineStr"/>
      <c r="BK78" s="38" t="inlineStr"/>
      <c r="BL78" s="38" t="inlineStr"/>
      <c r="BM78" s="38" t="inlineStr"/>
    </row>
    <row r="79">
      <c r="A79" t="inlineStr">
        <is>
          <t>5462 - WOE - REPAIRS AND REPLACEMENT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n">
        <v>389.14</v>
      </c>
      <c r="T79" s="38" t="inlineStr"/>
      <c r="U79" s="38" t="inlineStr"/>
      <c r="V79" s="38" t="n">
        <v>1344.04</v>
      </c>
      <c r="W79" s="38" t="n">
        <v>15428.89</v>
      </c>
      <c r="X79" s="38" t="n">
        <v>2294.28</v>
      </c>
      <c r="Y79" s="38" t="n">
        <v>14074.44</v>
      </c>
      <c r="Z79" s="38" t="n">
        <v>3373.45</v>
      </c>
      <c r="AA79" s="38" t="n">
        <v>663.4400000000001</v>
      </c>
      <c r="AB79" s="38" t="n">
        <v>3758.97</v>
      </c>
      <c r="AC79" s="38" t="n">
        <v>41326.64999999999</v>
      </c>
      <c r="AD79" s="38" t="n"/>
      <c r="AE79" s="38" t="n">
        <v>5923.73</v>
      </c>
      <c r="AF79" s="38" t="n">
        <v>7083.26</v>
      </c>
      <c r="AG79" s="38" t="n">
        <v>2405.22</v>
      </c>
      <c r="AH79" s="38" t="n">
        <v>5233.99</v>
      </c>
      <c r="AI79" s="38" t="inlineStr"/>
      <c r="AJ79" s="38" t="n">
        <v>2664.2</v>
      </c>
      <c r="AK79" s="38" t="n">
        <v>11130.52</v>
      </c>
      <c r="AL79" s="38" t="inlineStr"/>
      <c r="AM79" s="38" t="n">
        <v>352.28</v>
      </c>
      <c r="AN79" s="38" t="inlineStr"/>
      <c r="AO79" s="38" t="inlineStr"/>
      <c r="AP79" s="38" t="n">
        <v>10389.41</v>
      </c>
      <c r="AQ79" s="38" t="n">
        <v>45182.61</v>
      </c>
      <c r="AR79" s="38" t="n"/>
      <c r="AS79" s="38" t="inlineStr"/>
      <c r="AT79" s="38" t="inlineStr"/>
      <c r="AU79" s="38" t="n">
        <v>589.24</v>
      </c>
      <c r="AV79" s="38" t="n">
        <v>16045.5</v>
      </c>
      <c r="AW79" s="38" t="n">
        <v>775.01</v>
      </c>
      <c r="AX79" s="38" t="n">
        <v>319.24</v>
      </c>
      <c r="AY79" s="38" t="n">
        <v>4904.53</v>
      </c>
      <c r="AZ79" s="38" t="n">
        <v>14319.33</v>
      </c>
      <c r="BA79" s="38" t="n">
        <v>7712.98</v>
      </c>
      <c r="BB79" s="38" t="n">
        <v>83352.21000000001</v>
      </c>
      <c r="BC79" s="38" t="n">
        <v>14874.81</v>
      </c>
      <c r="BD79" s="38" t="n">
        <v>4661.19</v>
      </c>
      <c r="BE79" s="38" t="n">
        <v>147554.04</v>
      </c>
      <c r="BF79" s="38" t="n"/>
      <c r="BG79" s="38" t="inlineStr"/>
      <c r="BH79" s="38" t="n">
        <v>1285.01</v>
      </c>
      <c r="BI79" s="38" t="inlineStr"/>
      <c r="BJ79" s="38" t="inlineStr"/>
      <c r="BK79" s="38" t="n">
        <v>165.64</v>
      </c>
      <c r="BL79" s="38" t="inlineStr"/>
      <c r="BM79" s="38" t="inlineStr"/>
    </row>
    <row r="80">
      <c r="A80" t="inlineStr">
        <is>
          <t>5463 - WOE - SAFETY ENVIR &amp; REGUL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n">
        <v>275</v>
      </c>
      <c r="T80" s="38" t="inlineStr"/>
      <c r="U80" s="38" t="inlineStr"/>
      <c r="V80" s="38" t="inlineStr"/>
      <c r="W80" s="38" t="inlineStr"/>
      <c r="X80" s="38" t="inlineStr"/>
      <c r="Y80" s="38" t="inlineStr"/>
      <c r="Z80" s="38" t="inlineStr"/>
      <c r="AA80" s="38" t="inlineStr"/>
      <c r="AB80" s="38" t="inlineStr"/>
      <c r="AC80" s="38" t="n">
        <v>275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  <c r="AL80" s="38" t="inlineStr"/>
      <c r="AM80" s="38" t="inlineStr"/>
      <c r="AN80" s="38" t="inlineStr"/>
      <c r="AO80" s="38" t="inlineStr"/>
      <c r="AP80" s="38" t="inlineStr"/>
      <c r="AQ80" s="38" t="n">
        <v>0</v>
      </c>
      <c r="AR80" s="38" t="n"/>
      <c r="AS80" s="38" t="inlineStr"/>
      <c r="AT80" s="38" t="inlineStr"/>
      <c r="AU80" s="38" t="inlineStr"/>
      <c r="AV80" s="38" t="inlineStr"/>
      <c r="AW80" s="38" t="inlineStr"/>
      <c r="AX80" s="38" t="inlineStr"/>
      <c r="AY80" s="38" t="inlineStr"/>
      <c r="AZ80" s="38" t="inlineStr"/>
      <c r="BA80" s="38" t="inlineStr"/>
      <c r="BB80" s="38" t="inlineStr"/>
      <c r="BC80" s="38" t="inlineStr"/>
      <c r="BD80" s="38" t="inlineStr"/>
      <c r="BE80" s="38" t="n">
        <v>0</v>
      </c>
      <c r="BF80" s="38" t="n"/>
      <c r="BG80" s="38" t="inlineStr"/>
      <c r="BH80" s="38" t="inlineStr"/>
      <c r="BI80" s="38" t="inlineStr"/>
      <c r="BJ80" s="38" t="inlineStr"/>
      <c r="BK80" s="38" t="inlineStr"/>
      <c r="BL80" s="38" t="inlineStr"/>
      <c r="BM80" s="38" t="inlineStr"/>
    </row>
    <row r="81">
      <c r="A81" t="inlineStr">
        <is>
          <t>5464 - WOE - SUPPLIES &amp; MISCELLANEOUS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inlineStr"/>
      <c r="N81" s="38" t="inlineStr"/>
      <c r="O81" s="38" t="n">
        <v>0</v>
      </c>
      <c r="P81" s="38" t="n"/>
      <c r="Q81" s="38" t="inlineStr"/>
      <c r="R81" s="38" t="inlineStr"/>
      <c r="S81" s="38" t="inlineStr"/>
      <c r="T81" s="38" t="inlineStr"/>
      <c r="U81" s="38" t="inlineStr"/>
      <c r="V81" s="38" t="inlineStr"/>
      <c r="W81" s="38" t="inlineStr"/>
      <c r="X81" s="38" t="inlineStr"/>
      <c r="Y81" s="38" t="inlineStr"/>
      <c r="Z81" s="38" t="n">
        <v>5176.16</v>
      </c>
      <c r="AA81" s="38" t="n">
        <v>3518.13</v>
      </c>
      <c r="AB81" s="38" t="inlineStr"/>
      <c r="AC81" s="38" t="n">
        <v>8694.290000000001</v>
      </c>
      <c r="AD81" s="38" t="n"/>
      <c r="AE81" s="38" t="inlineStr"/>
      <c r="AF81" s="38" t="n">
        <v>359.47</v>
      </c>
      <c r="AG81" s="38" t="n">
        <v>1894.47</v>
      </c>
      <c r="AH81" s="38" t="n">
        <v>2826.41</v>
      </c>
      <c r="AI81" s="38" t="inlineStr"/>
      <c r="AJ81" s="38" t="inlineStr"/>
      <c r="AK81" s="38" t="inlineStr"/>
      <c r="AL81" s="38" t="inlineStr"/>
      <c r="AM81" s="38" t="inlineStr"/>
      <c r="AN81" s="38" t="n">
        <v>7075.39</v>
      </c>
      <c r="AO81" s="38" t="inlineStr"/>
      <c r="AP81" s="38" t="n">
        <v>27743.84</v>
      </c>
      <c r="AQ81" s="38" t="n">
        <v>39899.58</v>
      </c>
      <c r="AR81" s="38" t="n"/>
      <c r="AS81" s="38" t="n">
        <v>7976.640000000001</v>
      </c>
      <c r="AT81" s="38" t="n">
        <v>21448.27999999999</v>
      </c>
      <c r="AU81" s="38" t="n">
        <v>131578.59</v>
      </c>
      <c r="AV81" s="38" t="n">
        <v>171166.38</v>
      </c>
      <c r="AW81" s="38" t="n">
        <v>236135.11</v>
      </c>
      <c r="AX81" s="38" t="n">
        <v>10037.2</v>
      </c>
      <c r="AY81" s="38" t="n">
        <v>111190.23</v>
      </c>
      <c r="AZ81" s="38" t="n">
        <v>8644.859999999999</v>
      </c>
      <c r="BA81" s="38" t="inlineStr"/>
      <c r="BB81" s="38" t="inlineStr"/>
      <c r="BC81" s="38" t="inlineStr"/>
      <c r="BD81" s="38" t="inlineStr"/>
      <c r="BE81" s="38" t="n">
        <v>698177.2899999999</v>
      </c>
      <c r="BF81" s="38" t="n"/>
      <c r="BG81" s="38" t="n">
        <v>2170.67</v>
      </c>
      <c r="BH81" s="38" t="n">
        <v>340584.9899999999</v>
      </c>
      <c r="BI81" s="38" t="n">
        <v>825661.49</v>
      </c>
      <c r="BJ81" s="38" t="n">
        <v>3985.21</v>
      </c>
      <c r="BK81" s="38" t="n">
        <v>70.62</v>
      </c>
      <c r="BL81" s="38" t="inlineStr"/>
      <c r="BM81" s="38" t="inlineStr"/>
    </row>
    <row r="82">
      <c r="A82" t="inlineStr">
        <is>
          <t>5465 - WOE - TEMPORARY ABANDONMENT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inlineStr"/>
      <c r="V82" s="38" t="inlineStr"/>
      <c r="W82" s="38" t="inlineStr"/>
      <c r="X82" s="38" t="inlineStr"/>
      <c r="Y82" s="38" t="inlineStr"/>
      <c r="Z82" s="38" t="inlineStr"/>
      <c r="AA82" s="38" t="inlineStr"/>
      <c r="AB82" s="38" t="inlineStr"/>
      <c r="AC82" s="38" t="n">
        <v>0</v>
      </c>
      <c r="AD82" s="38" t="n"/>
      <c r="AE82" s="38" t="inlineStr"/>
      <c r="AF82" s="38" t="inlineStr"/>
      <c r="AG82" s="38" t="inlineStr"/>
      <c r="AH82" s="38" t="inlineStr"/>
      <c r="AI82" s="38" t="inlineStr"/>
      <c r="AJ82" s="38" t="inlineStr"/>
      <c r="AK82" s="38" t="inlineStr"/>
      <c r="AL82" s="38" t="inlineStr"/>
      <c r="AM82" s="38" t="inlineStr"/>
      <c r="AN82" s="38" t="inlineStr"/>
      <c r="AO82" s="38" t="inlineStr"/>
      <c r="AP82" s="38" t="inlineStr"/>
      <c r="AQ82" s="38" t="n">
        <v>0</v>
      </c>
      <c r="AR82" s="38" t="n"/>
      <c r="AS82" s="38" t="inlineStr"/>
      <c r="AT82" s="38" t="inlineStr"/>
      <c r="AU82" s="38" t="inlineStr"/>
      <c r="AV82" s="38" t="inlineStr"/>
      <c r="AW82" s="38" t="inlineStr"/>
      <c r="AX82" s="38" t="inlineStr"/>
      <c r="AY82" s="38" t="inlineStr"/>
      <c r="AZ82" s="38" t="inlineStr"/>
      <c r="BA82" s="38" t="inlineStr"/>
      <c r="BB82" s="38" t="inlineStr"/>
      <c r="BC82" s="38" t="inlineStr"/>
      <c r="BD82" s="38" t="inlineStr"/>
      <c r="BE82" s="38" t="n">
        <v>0</v>
      </c>
      <c r="BF82" s="38" t="n"/>
      <c r="BG82" s="38" t="inlineStr"/>
      <c r="BH82" s="38" t="inlineStr"/>
      <c r="BI82" s="38" t="inlineStr"/>
      <c r="BJ82" s="38" t="inlineStr"/>
      <c r="BK82" s="38" t="inlineStr"/>
      <c r="BL82" s="38" t="inlineStr"/>
      <c r="BM82" s="38" t="inlineStr"/>
    </row>
    <row r="83">
      <c r="A83" t="inlineStr">
        <is>
          <t>5466 - WOE - TUBULAR INSPECTION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n">
        <v>2021.4</v>
      </c>
      <c r="T83" s="38" t="inlineStr"/>
      <c r="U83" s="38" t="inlineStr"/>
      <c r="V83" s="38" t="n">
        <v>1998.39</v>
      </c>
      <c r="W83" s="38" t="n">
        <v>13438.78</v>
      </c>
      <c r="X83" s="38" t="inlineStr"/>
      <c r="Y83" s="38" t="inlineStr"/>
      <c r="Z83" s="38" t="n">
        <v>14015.95</v>
      </c>
      <c r="AA83" s="38" t="n">
        <v>1643</v>
      </c>
      <c r="AB83" s="38" t="n">
        <v>1573.04</v>
      </c>
      <c r="AC83" s="38" t="n">
        <v>34690.56</v>
      </c>
      <c r="AD83" s="38" t="n"/>
      <c r="AE83" s="38" t="n">
        <v>2464.5</v>
      </c>
      <c r="AF83" s="38" t="n">
        <v>11856.9</v>
      </c>
      <c r="AG83" s="38" t="n">
        <v>2250.66</v>
      </c>
      <c r="AH83" s="38" t="n">
        <v>4227.17</v>
      </c>
      <c r="AI83" s="38" t="inlineStr"/>
      <c r="AJ83" s="38" t="inlineStr"/>
      <c r="AK83" s="38" t="inlineStr"/>
      <c r="AL83" s="38" t="n">
        <v>3321.61</v>
      </c>
      <c r="AM83" s="38" t="n">
        <v>2648</v>
      </c>
      <c r="AN83" s="38" t="n">
        <v>2908.65</v>
      </c>
      <c r="AO83" s="38" t="inlineStr"/>
      <c r="AP83" s="38" t="n">
        <v>3679.29</v>
      </c>
      <c r="AQ83" s="38" t="n">
        <v>33356.78</v>
      </c>
      <c r="AR83" s="38" t="n"/>
      <c r="AS83" s="38" t="n">
        <v>2725.829999999999</v>
      </c>
      <c r="AT83" s="38" t="n">
        <v>5187.450000000001</v>
      </c>
      <c r="AU83" s="38" t="n">
        <v>8125.15</v>
      </c>
      <c r="AV83" s="38" t="n">
        <v>4534.370000000001</v>
      </c>
      <c r="AW83" s="38" t="n">
        <v>10806</v>
      </c>
      <c r="AX83" s="38" t="n">
        <v>6788.530000000002</v>
      </c>
      <c r="AY83" s="38" t="n">
        <v>5808.540000000001</v>
      </c>
      <c r="AZ83" s="38" t="n">
        <v>10024.01</v>
      </c>
      <c r="BA83" s="38" t="inlineStr"/>
      <c r="BB83" s="38" t="n">
        <v>14643.2</v>
      </c>
      <c r="BC83" s="38" t="n">
        <v>7781.139999999999</v>
      </c>
      <c r="BD83" s="38" t="n">
        <v>5918.41</v>
      </c>
      <c r="BE83" s="38" t="n">
        <v>82342.63</v>
      </c>
      <c r="BF83" s="38" t="n"/>
      <c r="BG83" s="38" t="n">
        <v>2299.78</v>
      </c>
      <c r="BH83" s="38" t="n">
        <v>2231.91</v>
      </c>
      <c r="BI83" s="38" t="n">
        <v>11915.02</v>
      </c>
      <c r="BJ83" s="38" t="inlineStr"/>
      <c r="BK83" s="38" t="n">
        <v>8270.27</v>
      </c>
      <c r="BL83" s="38" t="n">
        <v>6020.950000000001</v>
      </c>
      <c r="BM83" s="38" t="inlineStr"/>
    </row>
    <row r="84">
      <c r="A84" t="inlineStr">
        <is>
          <t>5467 - WOE - VACUUM TRUCK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inlineStr"/>
      <c r="N84" s="38" t="inlineStr"/>
      <c r="O84" s="38" t="n">
        <v>0</v>
      </c>
      <c r="P84" s="38" t="n"/>
      <c r="Q84" s="38" t="inlineStr"/>
      <c r="R84" s="38" t="inlineStr"/>
      <c r="S84" s="38" t="n">
        <v>7960.49</v>
      </c>
      <c r="T84" s="38" t="inlineStr"/>
      <c r="U84" s="38" t="inlineStr"/>
      <c r="V84" s="38" t="inlineStr"/>
      <c r="W84" s="38" t="n">
        <v>3670.53</v>
      </c>
      <c r="X84" s="38" t="n">
        <v>11380.52</v>
      </c>
      <c r="Y84" s="38" t="n">
        <v>6944.230000000001</v>
      </c>
      <c r="Z84" s="38" t="n">
        <v>25547.2</v>
      </c>
      <c r="AA84" s="38" t="n">
        <v>19141.98</v>
      </c>
      <c r="AB84" s="38" t="inlineStr"/>
      <c r="AC84" s="38" t="n">
        <v>74644.95000000001</v>
      </c>
      <c r="AD84" s="38" t="n"/>
      <c r="AE84" s="38" t="n">
        <v>2364.73</v>
      </c>
      <c r="AF84" s="38" t="n">
        <v>7997.04</v>
      </c>
      <c r="AG84" s="38" t="n">
        <v>5584.559999999999</v>
      </c>
      <c r="AH84" s="38" t="n">
        <v>28549.5</v>
      </c>
      <c r="AI84" s="38" t="n">
        <v>3606.3</v>
      </c>
      <c r="AJ84" s="38" t="n">
        <v>2922.79</v>
      </c>
      <c r="AK84" s="38" t="n">
        <v>21359.78</v>
      </c>
      <c r="AL84" s="38" t="inlineStr"/>
      <c r="AM84" s="38" t="n">
        <v>2627.23</v>
      </c>
      <c r="AN84" s="38" t="n">
        <v>1217.61</v>
      </c>
      <c r="AO84" s="38" t="n">
        <v>317.58</v>
      </c>
      <c r="AP84" s="38" t="n">
        <v>1406.74</v>
      </c>
      <c r="AQ84" s="38" t="n">
        <v>77953.86000000002</v>
      </c>
      <c r="AR84" s="38" t="n"/>
      <c r="AS84" s="38" t="n">
        <v>3098.59</v>
      </c>
      <c r="AT84" s="38" t="n">
        <v>5276.15</v>
      </c>
      <c r="AU84" s="38" t="n">
        <v>7386.01</v>
      </c>
      <c r="AV84" s="38" t="n">
        <v>9002.650000000001</v>
      </c>
      <c r="AW84" s="38" t="n">
        <v>11307.13</v>
      </c>
      <c r="AX84" s="38" t="n">
        <v>5031.389999999999</v>
      </c>
      <c r="AY84" s="38" t="n">
        <v>2034.44</v>
      </c>
      <c r="AZ84" s="38" t="n">
        <v>3902.639999999999</v>
      </c>
      <c r="BA84" s="38" t="inlineStr"/>
      <c r="BB84" s="38" t="n">
        <v>2838.47</v>
      </c>
      <c r="BC84" s="38" t="n">
        <v>2222.68</v>
      </c>
      <c r="BD84" s="38" t="inlineStr"/>
      <c r="BE84" s="38" t="n">
        <v>52100.15</v>
      </c>
      <c r="BF84" s="38" t="n"/>
      <c r="BG84" s="38" t="n">
        <v>930.1199999999999</v>
      </c>
      <c r="BH84" s="38" t="n">
        <v>3984.120000000001</v>
      </c>
      <c r="BI84" s="38" t="inlineStr"/>
      <c r="BJ84" s="38" t="inlineStr"/>
      <c r="BK84" s="38" t="inlineStr"/>
      <c r="BL84" s="38" t="inlineStr"/>
      <c r="BM84" s="38" t="inlineStr"/>
    </row>
    <row r="85">
      <c r="A85" t="inlineStr">
        <is>
          <t>5468 - WOE - WIRELINE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inlineStr"/>
      <c r="T85" s="38" t="inlineStr"/>
      <c r="U85" s="38" t="inlineStr"/>
      <c r="V85" s="38" t="inlineStr"/>
      <c r="W85" s="38" t="inlineStr"/>
      <c r="X85" s="38" t="n">
        <v>67372</v>
      </c>
      <c r="Y85" s="38" t="inlineStr"/>
      <c r="Z85" s="38" t="inlineStr"/>
      <c r="AA85" s="38" t="inlineStr"/>
      <c r="AB85" s="38" t="inlineStr"/>
      <c r="AC85" s="38" t="n">
        <v>67372</v>
      </c>
      <c r="AD85" s="38" t="n"/>
      <c r="AE85" s="38" t="n">
        <v>10985.88</v>
      </c>
      <c r="AF85" s="38" t="n">
        <v>23709.41</v>
      </c>
      <c r="AG85" s="38" t="inlineStr"/>
      <c r="AH85" s="38" t="inlineStr"/>
      <c r="AI85" s="38" t="inlineStr"/>
      <c r="AJ85" s="38" t="inlineStr"/>
      <c r="AK85" s="38" t="inlineStr"/>
      <c r="AL85" s="38" t="inlineStr"/>
      <c r="AM85" s="38" t="inlineStr"/>
      <c r="AN85" s="38" t="inlineStr"/>
      <c r="AO85" s="38" t="inlineStr"/>
      <c r="AP85" s="38" t="inlineStr"/>
      <c r="AQ85" s="38" t="n">
        <v>34695.29000000001</v>
      </c>
      <c r="AR85" s="38" t="n"/>
      <c r="AS85" s="38" t="n">
        <v>1652.44</v>
      </c>
      <c r="AT85" s="38" t="n">
        <v>3243.46</v>
      </c>
      <c r="AU85" s="38" t="n">
        <v>32628.69</v>
      </c>
      <c r="AV85" s="38" t="n">
        <v>12225.83</v>
      </c>
      <c r="AW85" s="38" t="n">
        <v>14964.36</v>
      </c>
      <c r="AX85" s="38" t="inlineStr"/>
      <c r="AY85" s="38" t="n">
        <v>12361.09</v>
      </c>
      <c r="AZ85" s="38" t="inlineStr"/>
      <c r="BA85" s="38" t="inlineStr"/>
      <c r="BB85" s="38" t="inlineStr"/>
      <c r="BC85" s="38" t="inlineStr"/>
      <c r="BD85" s="38" t="inlineStr"/>
      <c r="BE85" s="38" t="n">
        <v>77075.87</v>
      </c>
      <c r="BF85" s="38" t="n"/>
      <c r="BG85" s="38" t="inlineStr"/>
      <c r="BH85" s="38" t="n">
        <v>28057.00999999999</v>
      </c>
      <c r="BI85" s="38" t="n">
        <v>50046.95</v>
      </c>
      <c r="BJ85" s="38" t="inlineStr"/>
      <c r="BK85" s="38" t="inlineStr"/>
      <c r="BL85" s="38" t="inlineStr"/>
      <c r="BM85" s="38" t="n">
        <v>14207.5</v>
      </c>
    </row>
    <row r="86">
      <c r="A86" t="inlineStr">
        <is>
          <t>5469 - WOE - ADMINISTRATIVE OVERHEAD</t>
        </is>
      </c>
      <c r="C86" s="38" t="inlineStr"/>
      <c r="D86" s="38" t="inlineStr"/>
      <c r="E86" s="38" t="inlineStr"/>
      <c r="F86" s="38" t="inlineStr"/>
      <c r="G86" s="38" t="inlineStr"/>
      <c r="H86" s="38" t="inlineStr"/>
      <c r="I86" s="38" t="inlineStr"/>
      <c r="J86" s="38" t="inlineStr"/>
      <c r="K86" s="38" t="inlineStr"/>
      <c r="L86" s="38" t="inlineStr"/>
      <c r="M86" s="38" t="inlineStr"/>
      <c r="N86" s="38" t="inlineStr"/>
      <c r="O86" s="38" t="n">
        <v>0</v>
      </c>
      <c r="P86" s="38" t="n"/>
      <c r="Q86" s="38" t="inlineStr"/>
      <c r="R86" s="38" t="inlineStr"/>
      <c r="S86" s="38" t="inlineStr"/>
      <c r="T86" s="38" t="inlineStr"/>
      <c r="U86" s="38" t="inlineStr"/>
      <c r="V86" s="38" t="inlineStr"/>
      <c r="W86" s="38" t="inlineStr"/>
      <c r="X86" s="38" t="inlineStr"/>
      <c r="Y86" s="38" t="inlineStr"/>
      <c r="Z86" s="38" t="inlineStr"/>
      <c r="AA86" s="38" t="inlineStr"/>
      <c r="AB86" s="38" t="inlineStr"/>
      <c r="AC86" s="38" t="n">
        <v>0</v>
      </c>
      <c r="AD86" s="38" t="n"/>
      <c r="AE86" s="38" t="inlineStr"/>
      <c r="AF86" s="38" t="inlineStr"/>
      <c r="AG86" s="38" t="inlineStr"/>
      <c r="AH86" s="38" t="inlineStr"/>
      <c r="AI86" s="38" t="inlineStr"/>
      <c r="AJ86" s="38" t="inlineStr"/>
      <c r="AK86" s="38" t="inlineStr"/>
      <c r="AL86" s="38" t="inlineStr"/>
      <c r="AM86" s="38" t="inlineStr"/>
      <c r="AN86" s="38" t="inlineStr"/>
      <c r="AO86" s="38" t="inlineStr"/>
      <c r="AP86" s="38" t="inlineStr"/>
      <c r="AQ86" s="38" t="n">
        <v>0</v>
      </c>
      <c r="AR86" s="38" t="n"/>
      <c r="AS86" s="38" t="inlineStr"/>
      <c r="AT86" s="38" t="inlineStr"/>
      <c r="AU86" s="38" t="inlineStr"/>
      <c r="AV86" s="38" t="inlineStr"/>
      <c r="AW86" s="38" t="inlineStr"/>
      <c r="AX86" s="38" t="inlineStr"/>
      <c r="AY86" s="38" t="inlineStr"/>
      <c r="AZ86" s="38" t="inlineStr"/>
      <c r="BA86" s="38" t="inlineStr"/>
      <c r="BB86" s="38" t="inlineStr"/>
      <c r="BC86" s="38" t="inlineStr"/>
      <c r="BD86" s="38" t="inlineStr"/>
      <c r="BE86" s="38" t="n">
        <v>0</v>
      </c>
      <c r="BF86" s="38" t="n"/>
      <c r="BG86" s="38" t="inlineStr"/>
      <c r="BH86" s="38" t="inlineStr"/>
      <c r="BI86" s="38" t="inlineStr"/>
      <c r="BJ86" s="38" t="inlineStr"/>
      <c r="BK86" s="38" t="inlineStr"/>
      <c r="BL86" s="38" t="inlineStr"/>
      <c r="BM86" s="38" t="inlineStr"/>
    </row>
    <row r="87">
      <c r="A87" t="inlineStr">
        <is>
          <t>5470 - WOE - WORKOVER RIG</t>
        </is>
      </c>
      <c r="C87" s="38" t="inlineStr"/>
      <c r="D87" s="38" t="inlineStr"/>
      <c r="E87" s="38" t="inlineStr"/>
      <c r="F87" s="38" t="inlineStr"/>
      <c r="G87" s="38" t="inlineStr"/>
      <c r="H87" s="38" t="inlineStr"/>
      <c r="I87" s="38" t="inlineStr"/>
      <c r="J87" s="38" t="inlineStr"/>
      <c r="K87" s="38" t="inlineStr"/>
      <c r="L87" s="38" t="inlineStr"/>
      <c r="M87" s="38" t="inlineStr"/>
      <c r="N87" s="38" t="inlineStr"/>
      <c r="O87" s="38" t="n">
        <v>0</v>
      </c>
      <c r="P87" s="38" t="n"/>
      <c r="Q87" s="38" t="inlineStr"/>
      <c r="R87" s="38" t="inlineStr"/>
      <c r="S87" s="38" t="n">
        <v>17617.69</v>
      </c>
      <c r="T87" s="38" t="n">
        <v>9742.5</v>
      </c>
      <c r="U87" s="38" t="inlineStr"/>
      <c r="V87" s="38" t="n">
        <v>24426.45</v>
      </c>
      <c r="W87" s="38" t="n">
        <v>110170.29</v>
      </c>
      <c r="X87" s="38" t="n">
        <v>27793.2</v>
      </c>
      <c r="Y87" s="38" t="n">
        <v>25817.47</v>
      </c>
      <c r="Z87" s="38" t="n">
        <v>69087.62</v>
      </c>
      <c r="AA87" s="38" t="inlineStr"/>
      <c r="AB87" s="38" t="n">
        <v>8329.33</v>
      </c>
      <c r="AC87" s="38" t="n">
        <v>292984.55</v>
      </c>
      <c r="AD87" s="38" t="n"/>
      <c r="AE87" s="38" t="n">
        <v>28313.64</v>
      </c>
      <c r="AF87" s="38" t="n">
        <v>77211.36</v>
      </c>
      <c r="AG87" s="38" t="n">
        <v>14003.85</v>
      </c>
      <c r="AH87" s="38" t="n">
        <v>49402.66</v>
      </c>
      <c r="AI87" s="38" t="inlineStr"/>
      <c r="AJ87" s="38" t="inlineStr"/>
      <c r="AK87" s="38" t="n">
        <v>15052.16</v>
      </c>
      <c r="AL87" s="38" t="n">
        <v>12399.99</v>
      </c>
      <c r="AM87" s="38" t="n">
        <v>10749.23</v>
      </c>
      <c r="AN87" s="38" t="n">
        <v>12035.33</v>
      </c>
      <c r="AO87" s="38" t="inlineStr"/>
      <c r="AP87" s="38" t="n">
        <v>18382.26</v>
      </c>
      <c r="AQ87" s="38" t="n">
        <v>237550.48</v>
      </c>
      <c r="AR87" s="38" t="n"/>
      <c r="AS87" s="38" t="n">
        <v>9750.099999999999</v>
      </c>
      <c r="AT87" s="38" t="n">
        <v>30757.38</v>
      </c>
      <c r="AU87" s="38" t="n">
        <v>43315.37</v>
      </c>
      <c r="AV87" s="38" t="n">
        <v>19302.42</v>
      </c>
      <c r="AW87" s="38" t="n">
        <v>50789.06</v>
      </c>
      <c r="AX87" s="38" t="n">
        <v>15987.44</v>
      </c>
      <c r="AY87" s="38" t="n">
        <v>29338.74</v>
      </c>
      <c r="AZ87" s="38" t="n">
        <v>22850.05</v>
      </c>
      <c r="BA87" s="38" t="inlineStr"/>
      <c r="BB87" s="38" t="n">
        <v>39554.46</v>
      </c>
      <c r="BC87" s="38" t="n">
        <v>21351.03</v>
      </c>
      <c r="BD87" s="38" t="n">
        <v>24417.71</v>
      </c>
      <c r="BE87" s="38" t="n">
        <v>307413.76</v>
      </c>
      <c r="BF87" s="38" t="n"/>
      <c r="BG87" s="38" t="n">
        <v>11623.25</v>
      </c>
      <c r="BH87" s="38" t="n">
        <v>7085.539999999999</v>
      </c>
      <c r="BI87" s="38" t="n">
        <v>16134.94</v>
      </c>
      <c r="BJ87" s="38" t="inlineStr"/>
      <c r="BK87" s="38" t="n">
        <v>28653.1</v>
      </c>
      <c r="BL87" s="38" t="n">
        <v>11649.6</v>
      </c>
      <c r="BM87" s="38" t="inlineStr"/>
    </row>
    <row r="88">
      <c r="A88" t="inlineStr">
        <is>
          <t>Total Workover Expense</t>
        </is>
      </c>
      <c r="C88" s="38" t="n">
        <v>0</v>
      </c>
      <c r="D88" s="38" t="n">
        <v>0</v>
      </c>
      <c r="E88" s="38" t="n">
        <v>0</v>
      </c>
      <c r="F88" s="38" t="n">
        <v>0</v>
      </c>
      <c r="G88" s="38" t="n">
        <v>0</v>
      </c>
      <c r="H88" s="38" t="n">
        <v>0</v>
      </c>
      <c r="I88" s="38" t="n">
        <v>0</v>
      </c>
      <c r="J88" s="38" t="n">
        <v>0</v>
      </c>
      <c r="K88" s="38" t="n">
        <v>0</v>
      </c>
      <c r="L88" s="38" t="n">
        <v>0</v>
      </c>
      <c r="M88" s="38" t="n">
        <v>0</v>
      </c>
      <c r="N88" s="38" t="n">
        <v>0</v>
      </c>
      <c r="O88" s="38" t="n">
        <v>0</v>
      </c>
      <c r="P88" s="38" t="n"/>
      <c r="Q88" s="38" t="n">
        <v>401.24</v>
      </c>
      <c r="R88" s="38" t="n">
        <v>246.98</v>
      </c>
      <c r="S88" s="38" t="n">
        <v>42052.78</v>
      </c>
      <c r="T88" s="38" t="n">
        <v>35126.27</v>
      </c>
      <c r="U88" s="38" t="n">
        <v>15860.9</v>
      </c>
      <c r="V88" s="38" t="n">
        <v>49350.28</v>
      </c>
      <c r="W88" s="38" t="n">
        <v>322200.28</v>
      </c>
      <c r="X88" s="38" t="n">
        <v>171199.29</v>
      </c>
      <c r="Y88" s="38" t="n">
        <v>95081.50999999999</v>
      </c>
      <c r="Z88" s="38" t="n">
        <v>196384.55</v>
      </c>
      <c r="AA88" s="38" t="n">
        <v>126685.43</v>
      </c>
      <c r="AB88" s="38" t="n">
        <v>31027.26</v>
      </c>
      <c r="AC88" s="38" t="n">
        <v>1085616.77</v>
      </c>
      <c r="AD88" s="38" t="n"/>
      <c r="AE88" s="38" t="n">
        <v>127910.75</v>
      </c>
      <c r="AF88" s="38" t="n">
        <v>288119.05</v>
      </c>
      <c r="AG88" s="38" t="n">
        <v>84183.46000000001</v>
      </c>
      <c r="AH88" s="38" t="n">
        <v>203927.09</v>
      </c>
      <c r="AI88" s="38" t="n">
        <v>36007.46999999999</v>
      </c>
      <c r="AJ88" s="38" t="n">
        <v>36377.17000000001</v>
      </c>
      <c r="AK88" s="38" t="n">
        <v>138292.14</v>
      </c>
      <c r="AL88" s="38" t="n">
        <v>99620.40999999997</v>
      </c>
      <c r="AM88" s="38" t="n">
        <v>146053.93</v>
      </c>
      <c r="AN88" s="38" t="n">
        <v>129625.85</v>
      </c>
      <c r="AO88" s="38" t="n">
        <v>16948.89</v>
      </c>
      <c r="AP88" s="38" t="n">
        <v>125137.2</v>
      </c>
      <c r="AQ88" s="38" t="n">
        <v>1432203.41</v>
      </c>
      <c r="AR88" s="38" t="n"/>
      <c r="AS88" s="38" t="n">
        <v>119495.07</v>
      </c>
      <c r="AT88" s="38" t="n">
        <v>331230.01</v>
      </c>
      <c r="AU88" s="38" t="n">
        <v>321972.28</v>
      </c>
      <c r="AV88" s="38" t="n">
        <v>300909.25</v>
      </c>
      <c r="AW88" s="38" t="n">
        <v>517948.27</v>
      </c>
      <c r="AX88" s="38" t="n">
        <v>179018.79</v>
      </c>
      <c r="AY88" s="38" t="n">
        <v>287775.68</v>
      </c>
      <c r="AZ88" s="38" t="n">
        <v>172552.06</v>
      </c>
      <c r="BA88" s="38" t="n">
        <v>57285.67</v>
      </c>
      <c r="BB88" s="38" t="n">
        <v>309710.27</v>
      </c>
      <c r="BC88" s="38" t="n">
        <v>154769.32</v>
      </c>
      <c r="BD88" s="38" t="n">
        <v>135660.21</v>
      </c>
      <c r="BE88" s="38" t="n">
        <v>2888326.88</v>
      </c>
      <c r="BF88" s="38" t="n"/>
      <c r="BG88" s="38" t="n">
        <v>72734.54999999999</v>
      </c>
      <c r="BH88" s="38" t="n">
        <v>430463.9599999998</v>
      </c>
      <c r="BI88" s="38" t="n">
        <v>1089425.73</v>
      </c>
      <c r="BJ88" s="38" t="n">
        <v>14445.87</v>
      </c>
      <c r="BK88" s="38" t="n">
        <v>131582.08</v>
      </c>
      <c r="BL88" s="38" t="n">
        <v>75305.38</v>
      </c>
      <c r="BM88" s="38" t="n">
        <v>20190.41</v>
      </c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</row>
    <row r="90">
      <c r="A90" t="inlineStr">
        <is>
          <t>Well Profitablity</t>
        </is>
      </c>
      <c r="C90" s="7" t="n">
        <v>0</v>
      </c>
      <c r="D90" s="7" t="n">
        <v>0</v>
      </c>
      <c r="E90" s="7" t="n">
        <v>0</v>
      </c>
      <c r="F90" s="7" t="n">
        <v>0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-775</v>
      </c>
      <c r="M90" s="7" t="n">
        <v>-257.3</v>
      </c>
      <c r="N90" s="7" t="n">
        <v>3451178.73</v>
      </c>
      <c r="O90" s="7" t="n">
        <v>3450146.43</v>
      </c>
      <c r="P90" s="7" t="n"/>
      <c r="Q90" s="7" t="n">
        <v>2735952.25</v>
      </c>
      <c r="R90" s="7" t="n">
        <v>2530272.24</v>
      </c>
      <c r="S90" s="7" t="n">
        <v>2686637.720000001</v>
      </c>
      <c r="T90" s="7" t="n">
        <v>888314.4899999999</v>
      </c>
      <c r="U90" s="7" t="n">
        <v>-95213.77000000002</v>
      </c>
      <c r="V90" s="7" t="n">
        <v>2801801.65</v>
      </c>
      <c r="W90" s="7" t="n">
        <v>2371155.379999999</v>
      </c>
      <c r="X90" s="7" t="n">
        <v>1891503.959999998</v>
      </c>
      <c r="Y90" s="7" t="n">
        <v>5010395.010000001</v>
      </c>
      <c r="Z90" s="7" t="n">
        <v>16157207.81</v>
      </c>
      <c r="AA90" s="7" t="n">
        <v>14409529.33</v>
      </c>
      <c r="AB90" s="7" t="n">
        <v>17131281.71</v>
      </c>
      <c r="AC90" s="7" t="n">
        <v>68518837.78</v>
      </c>
      <c r="AD90" s="7" t="n"/>
      <c r="AE90" s="7" t="n">
        <v>29225079.44</v>
      </c>
      <c r="AF90" s="7" t="n">
        <v>30695970.44000001</v>
      </c>
      <c r="AG90" s="7" t="n">
        <v>35667072.38999999</v>
      </c>
      <c r="AH90" s="7" t="n">
        <v>51123172.97999999</v>
      </c>
      <c r="AI90" s="7" t="n">
        <v>54040157.66999999</v>
      </c>
      <c r="AJ90" s="7" t="n">
        <v>61357348.88</v>
      </c>
      <c r="AK90" s="7" t="n">
        <v>73775262.00999999</v>
      </c>
      <c r="AL90" s="7" t="n">
        <v>82793439.86000004</v>
      </c>
      <c r="AM90" s="7" t="n">
        <v>88622895.12000002</v>
      </c>
      <c r="AN90" s="7" t="n">
        <v>92291342.38999999</v>
      </c>
      <c r="AO90" s="7" t="n">
        <v>71535028.77000001</v>
      </c>
      <c r="AP90" s="7" t="n">
        <v>67075145.24000001</v>
      </c>
      <c r="AQ90" s="7" t="n">
        <v>738201915.1900002</v>
      </c>
      <c r="AR90" s="7" t="n"/>
      <c r="AS90" s="7" t="n">
        <v>68889588.92999999</v>
      </c>
      <c r="AT90" s="7" t="n">
        <v>52198988.54</v>
      </c>
      <c r="AU90" s="7" t="n">
        <v>44862700.10000002</v>
      </c>
      <c r="AV90" s="7" t="n">
        <v>34916391.09</v>
      </c>
      <c r="AW90" s="7" t="n">
        <v>41448820.56000001</v>
      </c>
      <c r="AX90" s="7" t="n">
        <v>44001984.89000001</v>
      </c>
      <c r="AY90" s="7" t="n">
        <v>42168222.24999999</v>
      </c>
      <c r="AZ90" s="7" t="n">
        <v>33767489.27</v>
      </c>
      <c r="BA90" s="7" t="n">
        <v>33900969.88000001</v>
      </c>
      <c r="BB90" s="7" t="n">
        <v>37822479.38</v>
      </c>
      <c r="BC90" s="7" t="n">
        <v>33804267.70999997</v>
      </c>
      <c r="BD90" s="7" t="n">
        <v>22216054</v>
      </c>
      <c r="BE90" s="7" t="n">
        <v>489997956.5999999</v>
      </c>
      <c r="BF90" s="7" t="n"/>
      <c r="BG90" s="7" t="n">
        <v>37535816.05999999</v>
      </c>
      <c r="BH90" s="7" t="n">
        <v>40496019.80000001</v>
      </c>
      <c r="BI90" s="7" t="n">
        <v>74396518.49000001</v>
      </c>
      <c r="BJ90" s="7" t="n">
        <v>71198839</v>
      </c>
      <c r="BK90" s="7" t="n">
        <v>91584990.22</v>
      </c>
      <c r="BL90" s="7" t="n">
        <v>73228229.30999997</v>
      </c>
      <c r="BM90" s="7" t="n">
        <v>64715994.89999999</v>
      </c>
    </row>
    <row r="91"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</row>
    <row r="92">
      <c r="A92" s="2" t="inlineStr">
        <is>
          <t>REVENUE WITH DEDUCTS</t>
        </is>
      </c>
      <c r="C92" s="38" t="n"/>
      <c r="D92" s="38" t="n"/>
      <c r="E92" s="38" t="n"/>
      <c r="F92" s="38" t="n"/>
      <c r="G92" s="38" t="n"/>
      <c r="H92" s="38" t="n"/>
      <c r="I92" s="38" t="n"/>
      <c r="J92" s="38" t="n"/>
      <c r="K92" s="38" t="n"/>
      <c r="L92" s="38" t="n"/>
      <c r="M92" s="38" t="n"/>
      <c r="N92" s="38" t="n"/>
      <c r="O92" s="38" t="n"/>
      <c r="P92" s="38" t="n"/>
      <c r="Q92" s="38" t="n"/>
      <c r="R92" s="38" t="n"/>
      <c r="S92" s="38" t="n"/>
      <c r="T92" s="38" t="n"/>
      <c r="U92" s="38" t="n"/>
      <c r="V92" s="38" t="n"/>
      <c r="W92" s="38" t="n"/>
      <c r="X92" s="38" t="n"/>
      <c r="Y92" s="38" t="n"/>
      <c r="Z92" s="38" t="n"/>
      <c r="AA92" s="38" t="n"/>
      <c r="AB92" s="38" t="n"/>
      <c r="AC92" s="38" t="n"/>
      <c r="AD92" s="38" t="n"/>
      <c r="AE92" s="38" t="n"/>
      <c r="AF92" s="38" t="n"/>
      <c r="AG92" s="38" t="n"/>
      <c r="AH92" s="38" t="n"/>
      <c r="AI92" s="38" t="n"/>
      <c r="AJ92" s="38" t="n"/>
      <c r="AK92" s="38" t="n"/>
      <c r="AL92" s="38" t="n"/>
      <c r="AM92" s="38" t="n"/>
      <c r="AN92" s="38" t="n"/>
      <c r="AO92" s="38" t="n"/>
      <c r="AP92" s="38" t="n"/>
      <c r="AQ92" s="38" t="n"/>
      <c r="AR92" s="38" t="n"/>
      <c r="AS92" s="38" t="n"/>
      <c r="AT92" s="38" t="n"/>
      <c r="AU92" s="38" t="n"/>
      <c r="AV92" s="38" t="n"/>
      <c r="AW92" s="38" t="n"/>
      <c r="AX92" s="38" t="n"/>
      <c r="AY92" s="38" t="n"/>
      <c r="AZ92" s="38" t="n"/>
      <c r="BA92" s="38" t="n"/>
      <c r="BB92" s="38" t="n"/>
      <c r="BC92" s="38" t="n"/>
      <c r="BD92" s="38" t="n"/>
      <c r="BE92" s="38" t="n"/>
      <c r="BF92" s="38" t="n"/>
      <c r="BG92" s="38" t="n"/>
      <c r="BH92" s="38" t="n"/>
      <c r="BI92" s="38" t="n"/>
      <c r="BJ92" s="38" t="n"/>
      <c r="BK92" s="38" t="n"/>
      <c r="BL92" s="38" t="n"/>
      <c r="BM92" s="38" t="n"/>
    </row>
    <row r="93">
      <c r="A93" s="1" t="inlineStr">
        <is>
          <t>OIL</t>
        </is>
      </c>
      <c r="C93" s="39">
        <f>IFERROR(C9-C26,C9)</f>
        <v/>
      </c>
      <c r="D93" s="39">
        <f>IFERROR(D9-D26,D9)</f>
        <v/>
      </c>
      <c r="E93" s="39">
        <f>IFERROR(E9-E26,E9)</f>
        <v/>
      </c>
      <c r="F93" s="39">
        <f>IFERROR(F9-F26,F9)</f>
        <v/>
      </c>
      <c r="G93" s="39">
        <f>IFERROR(G9-G26,G9)</f>
        <v/>
      </c>
      <c r="H93" s="39">
        <f>IFERROR(H9-H26,H9)</f>
        <v/>
      </c>
      <c r="I93" s="39">
        <f>IFERROR(I9-I26,I9)</f>
        <v/>
      </c>
      <c r="J93" s="39">
        <f>IFERROR(J9-J26,J9)</f>
        <v/>
      </c>
      <c r="K93" s="39">
        <f>IFERROR(K9-K26,K9)</f>
        <v/>
      </c>
      <c r="L93" s="39">
        <f>IFERROR(L9-L26,L9)</f>
        <v/>
      </c>
      <c r="M93" s="39">
        <f>IFERROR(M9-M26,M9)</f>
        <v/>
      </c>
      <c r="N93" s="39">
        <f>IFERROR(N9-N26,N9)</f>
        <v/>
      </c>
      <c r="O93" s="38" t="n"/>
      <c r="P93" s="38" t="n"/>
      <c r="Q93" s="39">
        <f>IFERROR(Q9-Q26,Q9)</f>
        <v/>
      </c>
      <c r="R93" s="39">
        <f>IFERROR(R9-R26,R9)</f>
        <v/>
      </c>
      <c r="S93" s="39">
        <f>IFERROR(S9-S26,S9)</f>
        <v/>
      </c>
      <c r="T93" s="39">
        <f>IFERROR(T9-T26,T9)</f>
        <v/>
      </c>
      <c r="U93" s="39">
        <f>IFERROR(U9-U26,U9)</f>
        <v/>
      </c>
      <c r="V93" s="39">
        <f>IFERROR(V9-V26,V9)</f>
        <v/>
      </c>
      <c r="W93" s="39">
        <f>IFERROR(W9-W26,W9)</f>
        <v/>
      </c>
      <c r="X93" s="39">
        <f>IFERROR(X9-X26,X9)</f>
        <v/>
      </c>
      <c r="Y93" s="39">
        <f>IFERROR(Y9-Y26,Y9)</f>
        <v/>
      </c>
      <c r="Z93" s="39">
        <f>IFERROR(Z9-Z26,Z9)</f>
        <v/>
      </c>
      <c r="AA93" s="39">
        <f>IFERROR(AA9-AA26,AA9)</f>
        <v/>
      </c>
      <c r="AB93" s="39">
        <f>IFERROR(AB9-AB26,AB9)</f>
        <v/>
      </c>
      <c r="AC93" s="38" t="n"/>
      <c r="AD93" s="38" t="n"/>
      <c r="AE93" s="39">
        <f>IFERROR(AE9-AE26,AE9)</f>
        <v/>
      </c>
      <c r="AF93" s="39">
        <f>IFERROR(AF9-AF26,AF9)</f>
        <v/>
      </c>
      <c r="AG93" s="39">
        <f>IFERROR(AG9-AG26,AG9)</f>
        <v/>
      </c>
      <c r="AH93" s="39">
        <f>IFERROR(AH9-AH26,AH9)</f>
        <v/>
      </c>
      <c r="AI93" s="39">
        <f>IFERROR(AI9-AI26,AI9)</f>
        <v/>
      </c>
      <c r="AJ93" s="39">
        <f>IFERROR(AJ9-AJ26,AJ9)</f>
        <v/>
      </c>
      <c r="AK93" s="39">
        <f>IFERROR(AK9-AK26,AK9)</f>
        <v/>
      </c>
      <c r="AL93" s="39">
        <f>IFERROR(AL9-AL26,AL9)</f>
        <v/>
      </c>
      <c r="AM93" s="39">
        <f>IFERROR(AM9-AM26,AM9)</f>
        <v/>
      </c>
      <c r="AN93" s="39">
        <f>IFERROR(AN9-AN26,AN9)</f>
        <v/>
      </c>
      <c r="AO93" s="39">
        <f>IFERROR(AO9-AO26,AO9)</f>
        <v/>
      </c>
      <c r="AP93" s="39">
        <f>IFERROR(AP9-AP26,AP9)</f>
        <v/>
      </c>
      <c r="AQ93" s="38" t="n"/>
      <c r="AR93" s="38" t="n"/>
      <c r="AS93" s="39">
        <f>IFERROR(AS9-AS26,AS9)</f>
        <v/>
      </c>
      <c r="AT93" s="39">
        <f>IFERROR(AT9-AT26,AT9)</f>
        <v/>
      </c>
      <c r="AU93" s="39">
        <f>IFERROR(AU9-AU26,AU9)</f>
        <v/>
      </c>
      <c r="AV93" s="39">
        <f>IFERROR(AV9-AV26,AV9)</f>
        <v/>
      </c>
      <c r="AW93" s="39">
        <f>IFERROR(AW9-AW26,AW9)</f>
        <v/>
      </c>
      <c r="AX93" s="39">
        <f>IFERROR(AX9-AX26,AX9)</f>
        <v/>
      </c>
      <c r="AY93" s="39">
        <f>IFERROR(AY9-AY26,AY9)</f>
        <v/>
      </c>
      <c r="AZ93" s="39">
        <f>IFERROR(AZ9-AZ26,AZ9)</f>
        <v/>
      </c>
      <c r="BA93" s="39">
        <f>IFERROR(BA9-BA26,BA9)</f>
        <v/>
      </c>
      <c r="BB93" s="39">
        <f>IFERROR(BB9-BB26,BB9)</f>
        <v/>
      </c>
      <c r="BC93" s="39">
        <f>IFERROR(BC9-BC26,BC9)</f>
        <v/>
      </c>
      <c r="BD93" s="39">
        <f>IFERROR(BD9-BD26,BD9)</f>
        <v/>
      </c>
      <c r="BE93" s="39" t="n"/>
      <c r="BF93" s="39" t="n"/>
      <c r="BG93" s="39">
        <f>IFERROR(BG9-BG26,BG9)</f>
        <v/>
      </c>
      <c r="BH93" s="39">
        <f>IFERROR(BH9-BH26,BH9)</f>
        <v/>
      </c>
      <c r="BI93" s="39">
        <f>IFERROR(BI9-BI26,BI9)</f>
        <v/>
      </c>
      <c r="BJ93" s="39">
        <f>IFERROR(BJ9-BJ26,BJ9)</f>
        <v/>
      </c>
      <c r="BK93" s="39">
        <f>IFERROR(BK9-BK26,BK9)</f>
        <v/>
      </c>
      <c r="BL93" s="39">
        <f>IFERROR(BL9-BL26,BL9)</f>
        <v/>
      </c>
      <c r="BM93" s="39">
        <f>IFERROR(BM9-BM26,BM9)</f>
        <v/>
      </c>
    </row>
    <row r="94">
      <c r="A94" s="1" t="inlineStr">
        <is>
          <t>GAS</t>
        </is>
      </c>
      <c r="C94" s="39">
        <f>IFERROR(C10-C27,C10)</f>
        <v/>
      </c>
      <c r="D94" s="39">
        <f>IFERROR(D10-D27,D10)</f>
        <v/>
      </c>
      <c r="E94" s="39">
        <f>IFERROR(E10-E27,E10)</f>
        <v/>
      </c>
      <c r="F94" s="39">
        <f>IFERROR(F10-F27,F10)</f>
        <v/>
      </c>
      <c r="G94" s="39">
        <f>IFERROR(G10-G27,G10)</f>
        <v/>
      </c>
      <c r="H94" s="39">
        <f>IFERROR(H10-H27,H10)</f>
        <v/>
      </c>
      <c r="I94" s="39">
        <f>IFERROR(I10-I27,I10)</f>
        <v/>
      </c>
      <c r="J94" s="39">
        <f>IFERROR(J10-J27,J10)</f>
        <v/>
      </c>
      <c r="K94" s="39">
        <f>IFERROR(K10-K27,K10)</f>
        <v/>
      </c>
      <c r="L94" s="39">
        <f>IFERROR(L10-L27,L10)</f>
        <v/>
      </c>
      <c r="M94" s="39">
        <f>IFERROR(M10-M27,M10)</f>
        <v/>
      </c>
      <c r="N94" s="39">
        <f>IFERROR(N10-N27,N10)</f>
        <v/>
      </c>
      <c r="O94" s="38" t="n"/>
      <c r="P94" s="38" t="n"/>
      <c r="Q94" s="39">
        <f>IFERROR(Q10-Q27,Q10)</f>
        <v/>
      </c>
      <c r="R94" s="39">
        <f>IFERROR(R10-R27,R10)</f>
        <v/>
      </c>
      <c r="S94" s="39">
        <f>IFERROR(S10-S27,S10)</f>
        <v/>
      </c>
      <c r="T94" s="39">
        <f>IFERROR(T10-T27,T10)</f>
        <v/>
      </c>
      <c r="U94" s="39">
        <f>IFERROR(U10-U27,U10)</f>
        <v/>
      </c>
      <c r="V94" s="39">
        <f>IFERROR(V10-V27,V10)</f>
        <v/>
      </c>
      <c r="W94" s="39">
        <f>IFERROR(W10-W27,W10)</f>
        <v/>
      </c>
      <c r="X94" s="39">
        <f>IFERROR(X10-X27,X10)</f>
        <v/>
      </c>
      <c r="Y94" s="39">
        <f>IFERROR(Y10-Y27,Y10)</f>
        <v/>
      </c>
      <c r="Z94" s="39">
        <f>IFERROR(Z10-Z27,Z10)</f>
        <v/>
      </c>
      <c r="AA94" s="39">
        <f>IFERROR(AA10-AA27,AA10)</f>
        <v/>
      </c>
      <c r="AB94" s="39">
        <f>IFERROR(AB10-AB27,AB10)</f>
        <v/>
      </c>
      <c r="AC94" s="38" t="n"/>
      <c r="AD94" s="38" t="n"/>
      <c r="AE94" s="39">
        <f>IFERROR(AE10-AE27,AE10)</f>
        <v/>
      </c>
      <c r="AF94" s="39">
        <f>IFERROR(AF10-AF27,AF10)</f>
        <v/>
      </c>
      <c r="AG94" s="39">
        <f>IFERROR(AG10-AG27,AG10)</f>
        <v/>
      </c>
      <c r="AH94" s="39">
        <f>IFERROR(AH10-AH27,AH10)</f>
        <v/>
      </c>
      <c r="AI94" s="39">
        <f>IFERROR(AI10-AI27,AI10)</f>
        <v/>
      </c>
      <c r="AJ94" s="39">
        <f>IFERROR(AJ10-AJ27,AJ10)</f>
        <v/>
      </c>
      <c r="AK94" s="39">
        <f>IFERROR(AK10-AK27,AK10)</f>
        <v/>
      </c>
      <c r="AL94" s="39">
        <f>IFERROR(AL10-AL27,AL10)</f>
        <v/>
      </c>
      <c r="AM94" s="39">
        <f>IFERROR(AM10-AM27,AM10)</f>
        <v/>
      </c>
      <c r="AN94" s="39">
        <f>IFERROR(AN10-AN27,AN10)</f>
        <v/>
      </c>
      <c r="AO94" s="39">
        <f>IFERROR(AO10-AO27,AO10)</f>
        <v/>
      </c>
      <c r="AP94" s="39">
        <f>IFERROR(AP10-AP27,AP10)</f>
        <v/>
      </c>
      <c r="AQ94" s="38" t="n"/>
      <c r="AR94" s="38" t="n"/>
      <c r="AS94" s="39">
        <f>IFERROR(AS10-AS27,AS10)</f>
        <v/>
      </c>
      <c r="AT94" s="39">
        <f>IFERROR(AT10-AT27,AT10)</f>
        <v/>
      </c>
      <c r="AU94" s="39">
        <f>IFERROR(AU10-AU27,AU10)</f>
        <v/>
      </c>
      <c r="AV94" s="39">
        <f>IFERROR(AV10-AV27,AV10)</f>
        <v/>
      </c>
      <c r="AW94" s="39">
        <f>IFERROR(AW10-AW27,AW10)</f>
        <v/>
      </c>
      <c r="AX94" s="39">
        <f>IFERROR(AX10-AX27,AX10)</f>
        <v/>
      </c>
      <c r="AY94" s="39">
        <f>IFERROR(AY10-AY27,AY10)</f>
        <v/>
      </c>
      <c r="AZ94" s="39">
        <f>IFERROR(AZ10-AZ27,AZ10)</f>
        <v/>
      </c>
      <c r="BA94" s="39">
        <f>IFERROR(BA10-BA27,BA10)</f>
        <v/>
      </c>
      <c r="BB94" s="39">
        <f>IFERROR(BB10-BB27,BB10)</f>
        <v/>
      </c>
      <c r="BC94" s="39">
        <f>IFERROR(BC10-BC27,BC10)</f>
        <v/>
      </c>
      <c r="BD94" s="39">
        <f>IFERROR(BD10-BD27,BD10)</f>
        <v/>
      </c>
      <c r="BE94" s="39" t="n"/>
      <c r="BF94" s="39" t="n"/>
      <c r="BG94" s="39">
        <f>IFERROR(BG10-BG27,BG10)</f>
        <v/>
      </c>
      <c r="BH94" s="39">
        <f>IFERROR(BH10-BH27,BH10)</f>
        <v/>
      </c>
      <c r="BI94" s="39">
        <f>IFERROR(BI10-BI27,BI10)</f>
        <v/>
      </c>
      <c r="BJ94" s="39">
        <f>IFERROR(BJ10-BJ27,BJ10)</f>
        <v/>
      </c>
      <c r="BK94" s="39">
        <f>IFERROR(BK10-BK27,BK10)</f>
        <v/>
      </c>
      <c r="BL94" s="39">
        <f>IFERROR(BL10-BL27,BL10)</f>
        <v/>
      </c>
      <c r="BM94" s="38" t="n"/>
    </row>
    <row r="95">
      <c r="A95" s="1" t="inlineStr">
        <is>
          <t>NGL</t>
        </is>
      </c>
      <c r="C95" s="39">
        <f>IFERROR(C11-C28,C11)</f>
        <v/>
      </c>
      <c r="D95" s="39">
        <f>IFERROR(D11-D28,D11)</f>
        <v/>
      </c>
      <c r="E95" s="39">
        <f>IFERROR(E11-E28,E11)</f>
        <v/>
      </c>
      <c r="F95" s="39">
        <f>IFERROR(F11-F28,F11)</f>
        <v/>
      </c>
      <c r="G95" s="39">
        <f>IFERROR(G11-G28,G11)</f>
        <v/>
      </c>
      <c r="H95" s="39">
        <f>IFERROR(H11-H28,H11)</f>
        <v/>
      </c>
      <c r="I95" s="39">
        <f>IFERROR(I11-I28,I11)</f>
        <v/>
      </c>
      <c r="J95" s="39">
        <f>IFERROR(J11-J28,J11)</f>
        <v/>
      </c>
      <c r="K95" s="39">
        <f>IFERROR(K11-K28,K11)</f>
        <v/>
      </c>
      <c r="L95" s="39">
        <f>IFERROR(L11-L28,L11)</f>
        <v/>
      </c>
      <c r="M95" s="39">
        <f>IFERROR(M11-M28,M11)</f>
        <v/>
      </c>
      <c r="N95" s="39">
        <f>IFERROR(N11-N28,N11)</f>
        <v/>
      </c>
      <c r="O95" s="38" t="n"/>
      <c r="P95" s="38" t="n"/>
      <c r="Q95" s="39">
        <f>IFERROR(Q11-Q28,Q11)</f>
        <v/>
      </c>
      <c r="R95" s="39">
        <f>IFERROR(R11-R28,R11)</f>
        <v/>
      </c>
      <c r="S95" s="39">
        <f>IFERROR(S11-S28,S11)</f>
        <v/>
      </c>
      <c r="T95" s="39">
        <f>IFERROR(T11-T28,T11)</f>
        <v/>
      </c>
      <c r="U95" s="39">
        <f>IFERROR(U11-U28,U11)</f>
        <v/>
      </c>
      <c r="V95" s="39">
        <f>IFERROR(V11-V28,V11)</f>
        <v/>
      </c>
      <c r="W95" s="39">
        <f>IFERROR(W11-W28,W11)</f>
        <v/>
      </c>
      <c r="X95" s="39">
        <f>IFERROR(X11-X28,X11)</f>
        <v/>
      </c>
      <c r="Y95" s="39">
        <f>IFERROR(Y11-Y28,Y11)</f>
        <v/>
      </c>
      <c r="Z95" s="39">
        <f>IFERROR(Z11-Z28,Z11)</f>
        <v/>
      </c>
      <c r="AA95" s="39">
        <f>IFERROR(AA11-AA28,AA11)</f>
        <v/>
      </c>
      <c r="AB95" s="39">
        <f>IFERROR(AB11-AB28,AB11)</f>
        <v/>
      </c>
      <c r="AC95" s="38" t="n"/>
      <c r="AD95" s="38" t="n"/>
      <c r="AE95" s="39">
        <f>IFERROR(AE11-AE28,AE11)</f>
        <v/>
      </c>
      <c r="AF95" s="39">
        <f>IFERROR(AF11-AF28,AF11)</f>
        <v/>
      </c>
      <c r="AG95" s="39">
        <f>IFERROR(AG11-AG28,AG11)</f>
        <v/>
      </c>
      <c r="AH95" s="39">
        <f>IFERROR(AH11-AH28,AH11)</f>
        <v/>
      </c>
      <c r="AI95" s="39">
        <f>IFERROR(AI11-AI28,AI11)</f>
        <v/>
      </c>
      <c r="AJ95" s="39">
        <f>IFERROR(AJ11-AJ28,AJ11)</f>
        <v/>
      </c>
      <c r="AK95" s="39">
        <f>IFERROR(AK11-AK28,AK11)</f>
        <v/>
      </c>
      <c r="AL95" s="39">
        <f>IFERROR(AL11-AL28,AL11)</f>
        <v/>
      </c>
      <c r="AM95" s="39">
        <f>IFERROR(AM11-AM28,AM11)</f>
        <v/>
      </c>
      <c r="AN95" s="39">
        <f>IFERROR(AN11-AN28,AN11)</f>
        <v/>
      </c>
      <c r="AO95" s="39">
        <f>IFERROR(AO11-AO28,AO11)</f>
        <v/>
      </c>
      <c r="AP95" s="39">
        <f>IFERROR(AP11-AP28,AP11)</f>
        <v/>
      </c>
      <c r="AQ95" s="38" t="n"/>
      <c r="AR95" s="38" t="n"/>
      <c r="AS95" s="39">
        <f>IFERROR(AS11-AS28,AS11)</f>
        <v/>
      </c>
      <c r="AT95" s="39">
        <f>IFERROR(AT11-AT28,AT11)</f>
        <v/>
      </c>
      <c r="AU95" s="39">
        <f>IFERROR(AU11-AU28,AU11)</f>
        <v/>
      </c>
      <c r="AV95" s="39">
        <f>IFERROR(AV11-AV28,AV11)</f>
        <v/>
      </c>
      <c r="AW95" s="39">
        <f>IFERROR(AW11-AW28,AW11)</f>
        <v/>
      </c>
      <c r="AX95" s="39">
        <f>IFERROR(AX11-AX28,AX11)</f>
        <v/>
      </c>
      <c r="AY95" s="39">
        <f>IFERROR(AY11-AY28,AY11)</f>
        <v/>
      </c>
      <c r="AZ95" s="39">
        <f>IFERROR(AZ11-AZ28,AZ11)</f>
        <v/>
      </c>
      <c r="BA95" s="39">
        <f>IFERROR(BA11-BA28,BA11)</f>
        <v/>
      </c>
      <c r="BB95" s="39">
        <f>IFERROR(BB11-BB28,BB11)</f>
        <v/>
      </c>
      <c r="BC95" s="39">
        <f>IFERROR(BC11-BC28,BC11)</f>
        <v/>
      </c>
      <c r="BD95" s="39">
        <f>IFERROR(BD11-BD28,BD11)</f>
        <v/>
      </c>
      <c r="BE95" s="39" t="n"/>
      <c r="BF95" s="39" t="n"/>
      <c r="BG95" s="39">
        <f>IFERROR(BG11-BG28,BG11)</f>
        <v/>
      </c>
      <c r="BH95" s="39">
        <f>IFERROR(BH11-BH28,BH11)</f>
        <v/>
      </c>
      <c r="BI95" s="39">
        <f>IFERROR(BI11-BI28,BI11)</f>
        <v/>
      </c>
      <c r="BJ95" s="39">
        <f>IFERROR(BJ11-BJ28,BJ11)</f>
        <v/>
      </c>
      <c r="BK95" s="39">
        <f>IFERROR(BK11-BK28,BK11)</f>
        <v/>
      </c>
      <c r="BL95" s="39">
        <f>IFERROR(BL11-BL28,BL11)</f>
        <v/>
      </c>
      <c r="BM95" s="38" t="n"/>
    </row>
    <row r="96">
      <c r="A96" s="2" t="inlineStr">
        <is>
          <t>DIFFS</t>
        </is>
      </c>
      <c r="C96" s="38" t="n"/>
      <c r="D96" s="38" t="n"/>
      <c r="E96" s="38" t="n"/>
      <c r="F96" s="38" t="n"/>
      <c r="G96" s="38" t="n"/>
      <c r="H96" s="38" t="n"/>
      <c r="I96" s="38" t="n"/>
      <c r="J96" s="38" t="n"/>
      <c r="K96" s="38" t="n"/>
      <c r="L96" s="38" t="n"/>
      <c r="M96" s="38" t="n"/>
      <c r="N96" s="38" t="n"/>
      <c r="O96" s="38" t="n"/>
      <c r="P96" s="38" t="n"/>
      <c r="Q96" s="38" t="n"/>
      <c r="R96" s="38" t="n"/>
      <c r="S96" s="38" t="n"/>
      <c r="T96" s="38" t="n"/>
      <c r="U96" s="38" t="n"/>
      <c r="V96" s="38" t="n"/>
      <c r="W96" s="38" t="n"/>
      <c r="X96" s="38" t="n"/>
      <c r="Y96" s="38" t="n"/>
      <c r="Z96" s="38" t="n"/>
      <c r="AA96" s="38" t="n"/>
      <c r="AB96" s="38" t="n"/>
      <c r="AC96" s="38" t="n"/>
      <c r="AD96" s="38" t="n"/>
      <c r="AE96" s="38" t="n"/>
      <c r="AF96" s="38" t="n"/>
      <c r="AG96" s="38" t="n"/>
      <c r="AH96" s="38" t="n"/>
      <c r="AI96" s="38" t="n"/>
      <c r="AJ96" s="38" t="n"/>
      <c r="AK96" s="38" t="n"/>
      <c r="AL96" s="38" t="n"/>
      <c r="AM96" s="38" t="n"/>
      <c r="AN96" s="38" t="n"/>
      <c r="AO96" s="38" t="n"/>
      <c r="AP96" s="38" t="n"/>
      <c r="AQ96" s="38" t="n"/>
      <c r="AR96" s="38" t="n"/>
      <c r="AS96" s="38" t="n"/>
      <c r="AT96" s="38" t="n"/>
      <c r="AU96" s="38" t="n"/>
      <c r="AV96" s="38" t="n"/>
      <c r="AW96" s="38" t="n"/>
      <c r="AX96" s="38" t="n"/>
      <c r="AY96" s="38" t="n"/>
      <c r="AZ96" s="38" t="n"/>
      <c r="BA96" s="38" t="n"/>
      <c r="BB96" s="38" t="n"/>
      <c r="BC96" s="38" t="n"/>
      <c r="BD96" s="38" t="n"/>
      <c r="BE96" s="38" t="n"/>
      <c r="BF96" s="38" t="n"/>
      <c r="BG96" s="38" t="n"/>
      <c r="BH96" s="38" t="n"/>
      <c r="BI96" s="38" t="n"/>
      <c r="BJ96" s="38" t="n"/>
      <c r="BK96" s="38" t="n"/>
      <c r="BL96" s="38" t="n"/>
      <c r="BM96" s="38" t="n"/>
    </row>
    <row r="97">
      <c r="A97" s="4" t="inlineStr">
        <is>
          <t>OIL HIST</t>
        </is>
      </c>
      <c r="C97" s="40" t="n">
        <v>82.979</v>
      </c>
      <c r="D97" s="40" t="n">
        <v>91.6289</v>
      </c>
      <c r="E97" s="40" t="n">
        <v>108.26</v>
      </c>
      <c r="F97" s="40" t="n">
        <v>101.64</v>
      </c>
      <c r="G97" s="40" t="n">
        <v>109.26</v>
      </c>
      <c r="H97" s="40" t="n">
        <v>114.34</v>
      </c>
      <c r="I97" s="40" t="n">
        <v>99.3845</v>
      </c>
      <c r="J97" s="40" t="n">
        <v>91.48</v>
      </c>
      <c r="K97" s="40" t="n">
        <v>83.8</v>
      </c>
      <c r="L97" s="40" t="n">
        <v>87.03</v>
      </c>
      <c r="M97" s="40" t="n">
        <v>84.39</v>
      </c>
      <c r="N97" s="40" t="n">
        <v>76.52</v>
      </c>
      <c r="O97" s="40" t="n"/>
      <c r="P97" s="40" t="n"/>
      <c r="Q97" s="40" t="n">
        <v>78.16</v>
      </c>
      <c r="R97" s="40" t="n">
        <v>76.86</v>
      </c>
      <c r="S97" s="40" t="n">
        <v>73.37260000000001</v>
      </c>
      <c r="T97" s="40" t="n">
        <v>79.4384</v>
      </c>
      <c r="U97" s="40" t="n">
        <v>71.62</v>
      </c>
      <c r="V97" s="40" t="n">
        <v>70.27</v>
      </c>
      <c r="W97" s="40" t="n">
        <v>76.03449999999999</v>
      </c>
      <c r="X97" s="40" t="n">
        <v>81.31999999999999</v>
      </c>
      <c r="Y97" s="40" t="n">
        <v>89.43049999999999</v>
      </c>
      <c r="Z97" s="40" t="n">
        <v>85.46680000000001</v>
      </c>
      <c r="AA97" s="40" t="n">
        <v>77.3767</v>
      </c>
      <c r="AB97" s="40" t="n">
        <v>72.12</v>
      </c>
      <c r="AC97" s="38" t="n"/>
      <c r="AD97" s="38" t="n"/>
      <c r="AE97" s="40" t="n">
        <v>73.86</v>
      </c>
      <c r="AF97" s="40" t="n">
        <v>76.61</v>
      </c>
      <c r="AG97" s="40" t="n">
        <v>80.405</v>
      </c>
      <c r="AH97" s="40" t="n">
        <v>84.39409999999999</v>
      </c>
      <c r="AI97" s="40" t="n">
        <v>78.62139999999999</v>
      </c>
      <c r="AJ97" s="40" t="n">
        <v>78.69840000000001</v>
      </c>
      <c r="AK97" s="40" t="n">
        <v>80.48136363636364</v>
      </c>
      <c r="AL97" s="40" t="n">
        <v>75.4336</v>
      </c>
      <c r="AM97" s="40" t="n">
        <v>69.3725</v>
      </c>
      <c r="AN97" s="40" t="n">
        <v>71.5617</v>
      </c>
      <c r="AO97" s="40" t="n">
        <v>69.544</v>
      </c>
      <c r="AP97" s="40" t="n">
        <v>69.69759999999999</v>
      </c>
      <c r="AQ97" s="38" t="n"/>
      <c r="AR97" s="38" t="n"/>
      <c r="AS97" s="40" t="n">
        <v>75.0981</v>
      </c>
      <c r="AT97" s="40" t="n">
        <v>71.2089</v>
      </c>
      <c r="AU97" s="40" t="n">
        <v>67.93952380952381</v>
      </c>
      <c r="AV97" s="40" t="n">
        <v>62.96238095238097</v>
      </c>
      <c r="AW97" s="40" t="n">
        <v>60.9352380952381</v>
      </c>
      <c r="AX97" s="40" t="n">
        <v>67.32599999999999</v>
      </c>
      <c r="AY97" s="40" t="n">
        <v>67.24318181818182</v>
      </c>
      <c r="AZ97" s="40" t="n">
        <v>64.01904761904761</v>
      </c>
      <c r="BA97" s="40" t="n">
        <v>63.53380952380952</v>
      </c>
      <c r="BB97" s="40" t="n">
        <v>60.06956521739131</v>
      </c>
      <c r="BC97" s="40" t="n">
        <v>59.48</v>
      </c>
      <c r="BD97" s="40" t="n">
        <v>57.86636363636364</v>
      </c>
      <c r="BE97" s="40" t="n"/>
      <c r="BF97" s="40" t="n"/>
      <c r="BG97" s="40" t="n">
        <v>60.26</v>
      </c>
      <c r="BH97" s="40" t="n">
        <v>64.52</v>
      </c>
      <c r="BI97" s="40" t="n">
        <v>90.997</v>
      </c>
      <c r="BJ97" s="40" t="n">
        <v>98.06</v>
      </c>
      <c r="BK97" s="40" t="n">
        <v>98.51000000000001</v>
      </c>
      <c r="BL97" s="40" t="n">
        <v>81.79000000000001</v>
      </c>
      <c r="BM97" s="40" t="n">
        <v>79.22</v>
      </c>
    </row>
    <row r="98">
      <c r="A98" s="4" t="inlineStr">
        <is>
          <t>GAS HIST</t>
        </is>
      </c>
      <c r="C98" s="40" t="n">
        <v>4.01</v>
      </c>
      <c r="D98" s="40" t="n">
        <v>6.31</v>
      </c>
      <c r="E98" s="40" t="n">
        <v>4.56</v>
      </c>
      <c r="F98" s="40" t="n">
        <v>5.32</v>
      </c>
      <c r="G98" s="40" t="n">
        <v>7.27</v>
      </c>
      <c r="H98" s="40" t="n">
        <v>8.907999999999999</v>
      </c>
      <c r="I98" s="40" t="n">
        <v>6.56</v>
      </c>
      <c r="J98" s="40" t="n">
        <v>8.710000000000001</v>
      </c>
      <c r="K98" s="40" t="n">
        <v>9.34</v>
      </c>
      <c r="L98" s="40" t="n">
        <v>6.88</v>
      </c>
      <c r="M98" s="40" t="n">
        <v>5.2</v>
      </c>
      <c r="N98" s="40" t="n">
        <v>6.71</v>
      </c>
      <c r="O98" s="40" t="n"/>
      <c r="P98" s="40" t="n"/>
      <c r="Q98" s="40" t="n">
        <v>4.75</v>
      </c>
      <c r="R98" s="40" t="n">
        <v>3.12</v>
      </c>
      <c r="S98" s="40" t="n">
        <v>2.46</v>
      </c>
      <c r="T98" s="40" t="n">
        <v>1.99</v>
      </c>
      <c r="U98" s="40" t="n">
        <v>2.11</v>
      </c>
      <c r="V98" s="40" t="n">
        <v>2.17</v>
      </c>
      <c r="W98" s="40" t="n">
        <v>2.6</v>
      </c>
      <c r="X98" s="40" t="n">
        <v>2.48</v>
      </c>
      <c r="Y98" s="40" t="n">
        <v>2.55</v>
      </c>
      <c r="Z98" s="40" t="n">
        <v>2.76</v>
      </c>
      <c r="AA98" s="40" t="n">
        <v>3.17</v>
      </c>
      <c r="AB98" s="40" t="n">
        <v>2.71</v>
      </c>
      <c r="AC98" s="38" t="n"/>
      <c r="AD98" s="38" t="n"/>
      <c r="AE98" s="40" t="n">
        <v>2.64</v>
      </c>
      <c r="AF98" s="40" t="n">
        <v>2.5</v>
      </c>
      <c r="AG98" s="40" t="n">
        <v>1.61</v>
      </c>
      <c r="AH98" s="40" t="n">
        <v>1.57</v>
      </c>
      <c r="AI98" s="40" t="n">
        <v>1.61</v>
      </c>
      <c r="AJ98" s="40" t="n">
        <v>2.5</v>
      </c>
      <c r="AK98" s="40" t="n">
        <v>2.62</v>
      </c>
      <c r="AL98" s="40" t="n">
        <v>1.9</v>
      </c>
      <c r="AM98" s="40" t="n">
        <v>1.94</v>
      </c>
      <c r="AN98" s="40" t="n">
        <v>2.59</v>
      </c>
      <c r="AO98" s="40" t="n">
        <v>2.35</v>
      </c>
      <c r="AP98" s="40" t="n">
        <v>3.44</v>
      </c>
      <c r="AQ98" s="38" t="n"/>
      <c r="AR98" s="38" t="n"/>
      <c r="AS98" s="40" t="n">
        <v>3.5</v>
      </c>
      <c r="AT98" s="40" t="n">
        <v>3.55</v>
      </c>
      <c r="AU98" s="40" t="n">
        <v>3.91</v>
      </c>
      <c r="AV98" s="40" t="n">
        <v>3.96</v>
      </c>
      <c r="AW98" s="40" t="n">
        <v>3.17</v>
      </c>
      <c r="AX98" s="40" t="n">
        <v>3.2</v>
      </c>
      <c r="AY98" s="40" t="n">
        <v>3.25</v>
      </c>
      <c r="AZ98" s="40" t="n">
        <v>3.09</v>
      </c>
      <c r="BA98" s="40" t="n">
        <v>2.87</v>
      </c>
      <c r="BB98" s="40" t="n">
        <v>2.83</v>
      </c>
      <c r="BC98" s="40" t="n">
        <v>3.38</v>
      </c>
      <c r="BD98" s="40" t="n">
        <v>4.43</v>
      </c>
      <c r="BE98" s="40" t="n"/>
      <c r="BF98" s="40" t="n"/>
      <c r="BG98" s="40" t="n">
        <v>4.69</v>
      </c>
      <c r="BH98" s="40" t="n">
        <v>7.49</v>
      </c>
      <c r="BI98" s="40" t="n">
        <v>2.98</v>
      </c>
      <c r="BJ98" s="40" t="n">
        <v>3.1</v>
      </c>
      <c r="BK98" s="40" t="n">
        <v>2.56</v>
      </c>
      <c r="BL98" s="40" t="n">
        <v>3.04</v>
      </c>
      <c r="BM98" s="40" t="n">
        <v>3.23</v>
      </c>
    </row>
    <row r="99">
      <c r="A99" s="5" t="n"/>
    </row>
    <row r="100">
      <c r="A100" s="1" t="inlineStr">
        <is>
          <t>REALIZED OIL</t>
        </is>
      </c>
      <c r="C100" s="52">
        <f>IFERROR(C93/C3,"")</f>
        <v/>
      </c>
      <c r="D100" s="52">
        <f>IFERROR(D93/D3,"")</f>
        <v/>
      </c>
      <c r="E100" s="52">
        <f>IFERROR(E93/E3,"")</f>
        <v/>
      </c>
      <c r="F100" s="52">
        <f>IFERROR(F93/F3,"")</f>
        <v/>
      </c>
      <c r="G100" s="52">
        <f>IFERROR(G93/G3,"")</f>
        <v/>
      </c>
      <c r="H100" s="52">
        <f>IFERROR(H93/H3,"")</f>
        <v/>
      </c>
      <c r="I100" s="52">
        <f>IFERROR(I93/I3,"")</f>
        <v/>
      </c>
      <c r="J100" s="52">
        <f>IFERROR(J93/J3,"")</f>
        <v/>
      </c>
      <c r="K100" s="52">
        <f>IFERROR(K93/K3,"")</f>
        <v/>
      </c>
      <c r="L100" s="52">
        <f>IFERROR(L93/L3,"")</f>
        <v/>
      </c>
      <c r="M100" s="52">
        <f>IFERROR(M93/M3,"")</f>
        <v/>
      </c>
      <c r="N100" s="52">
        <f>IFERROR(N93/N3,"")</f>
        <v/>
      </c>
      <c r="O100" s="51" t="n"/>
      <c r="P100" s="51" t="n"/>
      <c r="Q100" s="52">
        <f>IFERROR(Q93/Q3,"")</f>
        <v/>
      </c>
      <c r="R100" s="52">
        <f>IFERROR(R93/R3,"")</f>
        <v/>
      </c>
      <c r="S100" s="52">
        <f>IFERROR(S93/S3,"")</f>
        <v/>
      </c>
      <c r="T100" s="52">
        <f>IFERROR(T93/T3,"")</f>
        <v/>
      </c>
      <c r="U100" s="52">
        <f>IFERROR(U93/U3,"")</f>
        <v/>
      </c>
      <c r="V100" s="52">
        <f>IFERROR(V93/V3,"")</f>
        <v/>
      </c>
      <c r="W100" s="52">
        <f>IFERROR(W93/W3,"")</f>
        <v/>
      </c>
      <c r="X100" s="52">
        <f>IFERROR(X93/X3,"")</f>
        <v/>
      </c>
      <c r="Y100" s="52">
        <f>IFERROR(Y93/Y3,"")</f>
        <v/>
      </c>
      <c r="Z100" s="52">
        <f>IFERROR(Z93/Z3,"")</f>
        <v/>
      </c>
      <c r="AA100" s="52">
        <f>IFERROR(AA93/AA3,"")</f>
        <v/>
      </c>
      <c r="AB100" s="52">
        <f>IFERROR(AB93/AB3,"")</f>
        <v/>
      </c>
      <c r="AC100" s="51" t="n"/>
      <c r="AD100" s="51" t="n"/>
      <c r="AE100" s="52">
        <f>IFERROR(AE93/AE3,"")</f>
        <v/>
      </c>
      <c r="AF100" s="52">
        <f>IFERROR(AF93/AF3,"")</f>
        <v/>
      </c>
      <c r="AG100" s="52">
        <f>IFERROR(AG93/AG3,"")</f>
        <v/>
      </c>
      <c r="AH100" s="52">
        <f>IFERROR(AH93/AH3,"")</f>
        <v/>
      </c>
      <c r="AI100" s="52">
        <f>IFERROR(AI93/AI3,"")</f>
        <v/>
      </c>
      <c r="AJ100" s="52">
        <f>IFERROR(AJ93/AJ3,"")</f>
        <v/>
      </c>
      <c r="AK100" s="52">
        <f>IFERROR(AK93/AK3,"")</f>
        <v/>
      </c>
      <c r="AL100" s="52">
        <f>IFERROR(AL93/AL3,"")</f>
        <v/>
      </c>
      <c r="AM100" s="52">
        <f>IFERROR(AM93/AM3,"")</f>
        <v/>
      </c>
      <c r="AN100" s="52">
        <f>IFERROR(AN93/AN3,"")</f>
        <v/>
      </c>
      <c r="AO100" s="52">
        <f>IFERROR(AO93/AO3,"")</f>
        <v/>
      </c>
      <c r="AP100" s="52">
        <f>IFERROR(AP93/AP3,"")</f>
        <v/>
      </c>
      <c r="AQ100" s="51" t="n"/>
      <c r="AR100" s="51" t="n"/>
      <c r="AS100" s="52">
        <f>IFERROR(AS93/AS3,"")</f>
        <v/>
      </c>
      <c r="AT100" s="52">
        <f>IFERROR(AT93/AT3,"")</f>
        <v/>
      </c>
      <c r="AU100" s="52">
        <f>IFERROR(AU93/AU3,"")</f>
        <v/>
      </c>
      <c r="AV100" s="52">
        <f>IFERROR(AV93/AV3,"")</f>
        <v/>
      </c>
      <c r="AW100" s="52">
        <f>IFERROR(AW93/AW3,"")</f>
        <v/>
      </c>
      <c r="AX100" s="52">
        <f>IFERROR(AX93/AX3,"")</f>
        <v/>
      </c>
      <c r="AY100" s="52">
        <f>IFERROR(AY93/AY3,"")</f>
        <v/>
      </c>
      <c r="AZ100" s="52">
        <f>IFERROR(AZ93/AZ3,"")</f>
        <v/>
      </c>
      <c r="BA100" s="52">
        <f>IFERROR(BA93/BA3,"")</f>
        <v/>
      </c>
      <c r="BB100" s="52">
        <f>IFERROR(BB93/BB3,"")</f>
        <v/>
      </c>
      <c r="BC100" s="52">
        <f>IFERROR(BC93/BC3,"")</f>
        <v/>
      </c>
      <c r="BD100" s="52">
        <f>IFERROR(BD93/BD3,"")</f>
        <v/>
      </c>
      <c r="BE100" s="52" t="n"/>
      <c r="BF100" s="52">
        <f>IFERROR(BF93/BF3,"")</f>
        <v/>
      </c>
      <c r="BG100" s="52">
        <f>IFERROR(BG93/BG3,"")</f>
        <v/>
      </c>
      <c r="BH100" s="52">
        <f>IFERROR(BH93/BH3,"")</f>
        <v/>
      </c>
      <c r="BI100" s="52">
        <f>IFERROR(BI93/BI3,"")</f>
        <v/>
      </c>
      <c r="BJ100" s="52">
        <f>IFERROR(BJ93/BJ3,"")</f>
        <v/>
      </c>
      <c r="BK100" s="52">
        <f>IFERROR(BK93/BK3,"")</f>
        <v/>
      </c>
      <c r="BL100" s="52">
        <f>IFERROR(BL93/BL3,"")</f>
        <v/>
      </c>
      <c r="BM100" s="52">
        <f>IFERROR(BM93/BM3,"")</f>
        <v/>
      </c>
    </row>
    <row r="101">
      <c r="A101" s="1" t="inlineStr">
        <is>
          <t>REALIZED GAS</t>
        </is>
      </c>
      <c r="C101" s="52">
        <f>IFERROR(C94/C4,"")</f>
        <v/>
      </c>
      <c r="D101" s="52">
        <f>IFERROR(D94/D4,"")</f>
        <v/>
      </c>
      <c r="E101" s="52">
        <f>IFERROR(E94/E4,"")</f>
        <v/>
      </c>
      <c r="F101" s="52">
        <f>IFERROR(F94/F4,"")</f>
        <v/>
      </c>
      <c r="G101" s="52">
        <f>IFERROR(G94/G4,"")</f>
        <v/>
      </c>
      <c r="H101" s="52">
        <f>IFERROR(H94/H4,"")</f>
        <v/>
      </c>
      <c r="I101" s="52">
        <f>IFERROR(I94/I4,"")</f>
        <v/>
      </c>
      <c r="J101" s="52">
        <f>IFERROR(J94/J4,"")</f>
        <v/>
      </c>
      <c r="K101" s="52">
        <f>IFERROR(K94/K4,"")</f>
        <v/>
      </c>
      <c r="L101" s="52">
        <f>IFERROR(L94/L4,"")</f>
        <v/>
      </c>
      <c r="M101" s="52">
        <f>IFERROR(M94/M4,"")</f>
        <v/>
      </c>
      <c r="N101" s="52">
        <f>IFERROR(N94/N4,"")</f>
        <v/>
      </c>
      <c r="O101" s="51" t="n"/>
      <c r="P101" s="51" t="n"/>
      <c r="Q101" s="52">
        <f>IFERROR(Q94/Q4,"")</f>
        <v/>
      </c>
      <c r="R101" s="52">
        <f>IFERROR(R94/R4,"")</f>
        <v/>
      </c>
      <c r="S101" s="52">
        <f>IFERROR(S94/S4,"")</f>
        <v/>
      </c>
      <c r="T101" s="52">
        <f>IFERROR(T94/T4,"")</f>
        <v/>
      </c>
      <c r="U101" s="52">
        <f>IFERROR(U94/U4,"")</f>
        <v/>
      </c>
      <c r="V101" s="52">
        <f>IFERROR(V94/V4,"")</f>
        <v/>
      </c>
      <c r="W101" s="52">
        <f>IFERROR(W94/W4,"")</f>
        <v/>
      </c>
      <c r="X101" s="52">
        <f>IFERROR(X94/X4,"")</f>
        <v/>
      </c>
      <c r="Y101" s="52">
        <f>IFERROR(Y94/Y4,"")</f>
        <v/>
      </c>
      <c r="Z101" s="52">
        <f>IFERROR(Z94/Z4,"")</f>
        <v/>
      </c>
      <c r="AA101" s="52">
        <f>IFERROR(AA94/AA4,"")</f>
        <v/>
      </c>
      <c r="AB101" s="52">
        <f>IFERROR(AB94/AB4,"")</f>
        <v/>
      </c>
      <c r="AC101" s="51" t="n"/>
      <c r="AD101" s="51" t="n"/>
      <c r="AE101" s="52">
        <f>IFERROR(AE94/AE4,"")</f>
        <v/>
      </c>
      <c r="AF101" s="52">
        <f>IFERROR(AF94/AF4,"")</f>
        <v/>
      </c>
      <c r="AG101" s="52">
        <f>IFERROR(AG94/AG4,"")</f>
        <v/>
      </c>
      <c r="AH101" s="52">
        <f>IFERROR(AH94/AH4,"")</f>
        <v/>
      </c>
      <c r="AI101" s="52">
        <f>IFERROR(AI94/AI4,"")</f>
        <v/>
      </c>
      <c r="AJ101" s="52">
        <f>IFERROR(AJ94/AJ4,"")</f>
        <v/>
      </c>
      <c r="AK101" s="52">
        <f>IFERROR(AK94/AK4,"")</f>
        <v/>
      </c>
      <c r="AL101" s="52">
        <f>IFERROR(AL94/AL4,"")</f>
        <v/>
      </c>
      <c r="AM101" s="52">
        <f>IFERROR(AM94/AM4,"")</f>
        <v/>
      </c>
      <c r="AN101" s="52">
        <f>IFERROR(AN94/AN4,"")</f>
        <v/>
      </c>
      <c r="AO101" s="52">
        <f>IFERROR(AO94/AO4,"")</f>
        <v/>
      </c>
      <c r="AP101" s="52">
        <f>IFERROR(AP94/AP4,"")</f>
        <v/>
      </c>
      <c r="AQ101" s="51" t="n"/>
      <c r="AR101" s="51" t="n"/>
      <c r="AS101" s="52">
        <f>IFERROR(AS94/AS4,"")</f>
        <v/>
      </c>
      <c r="AT101" s="52">
        <f>IFERROR(AT94/AT4,"")</f>
        <v/>
      </c>
      <c r="AU101" s="52">
        <f>IFERROR(AU94/AU4,"")</f>
        <v/>
      </c>
      <c r="AV101" s="52">
        <f>IFERROR(AV94/AV4,"")</f>
        <v/>
      </c>
      <c r="AW101" s="52">
        <f>IFERROR(AW94/AW4,"")</f>
        <v/>
      </c>
      <c r="AX101" s="52">
        <f>IFERROR(AX94/AX4,"")</f>
        <v/>
      </c>
      <c r="AY101" s="52">
        <f>IFERROR(AY94/AY4,"")</f>
        <v/>
      </c>
      <c r="AZ101" s="52">
        <f>IFERROR(AZ94/AZ4,"")</f>
        <v/>
      </c>
      <c r="BA101" s="52">
        <f>IFERROR(BA94/BA4,"")</f>
        <v/>
      </c>
      <c r="BB101" s="52">
        <f>IFERROR(BB94/BB4,"")</f>
        <v/>
      </c>
      <c r="BC101" s="52">
        <f>IFERROR(BC94/BC4,"")</f>
        <v/>
      </c>
      <c r="BD101" s="52">
        <f>IFERROR(BD94/BD4,"")</f>
        <v/>
      </c>
      <c r="BE101" s="52" t="n"/>
      <c r="BF101" s="52">
        <f>IFERROR(BF94/BF4,"")</f>
        <v/>
      </c>
      <c r="BG101" s="52">
        <f>IFERROR(BG94/BG4,"")</f>
        <v/>
      </c>
      <c r="BH101" s="52">
        <f>IFERROR(BH94/BH4,"")</f>
        <v/>
      </c>
      <c r="BI101" s="52">
        <f>IFERROR(BI94/BI4,"")</f>
        <v/>
      </c>
      <c r="BJ101" s="52">
        <f>IFERROR(BJ94/BJ4,"")</f>
        <v/>
      </c>
      <c r="BK101" s="52">
        <f>IFERROR(BK94/BK4,"")</f>
        <v/>
      </c>
      <c r="BL101" s="52">
        <f>IFERROR(BL94/BL4,"")</f>
        <v/>
      </c>
      <c r="BM101" s="51" t="n"/>
    </row>
    <row r="102">
      <c r="A102" s="1" t="inlineStr">
        <is>
          <t>REALIZED NGL</t>
        </is>
      </c>
      <c r="C102" s="52">
        <f>IFERROR(C95/C5,"")</f>
        <v/>
      </c>
      <c r="D102" s="52">
        <f>IFERROR(D95/D5,"")</f>
        <v/>
      </c>
      <c r="E102" s="52">
        <f>IFERROR(E95/E5,"")</f>
        <v/>
      </c>
      <c r="F102" s="52">
        <f>IFERROR(F95/F5,"")</f>
        <v/>
      </c>
      <c r="G102" s="52">
        <f>IFERROR(G95/G5,"")</f>
        <v/>
      </c>
      <c r="H102" s="52">
        <f>IFERROR(H95/H5,"")</f>
        <v/>
      </c>
      <c r="I102" s="52">
        <f>IFERROR(I95/I5,"")</f>
        <v/>
      </c>
      <c r="J102" s="52">
        <f>IFERROR(J95/J5,"")</f>
        <v/>
      </c>
      <c r="K102" s="52">
        <f>IFERROR(K95/K5,"")</f>
        <v/>
      </c>
      <c r="L102" s="52">
        <f>IFERROR(L95/L5,"")</f>
        <v/>
      </c>
      <c r="M102" s="52">
        <f>IFERROR(M95/M5,"")</f>
        <v/>
      </c>
      <c r="N102" s="52">
        <f>IFERROR(N95/N5,"")</f>
        <v/>
      </c>
      <c r="O102" s="51" t="n"/>
      <c r="P102" s="51" t="n"/>
      <c r="Q102" s="52">
        <f>IFERROR(Q95/Q5,"")</f>
        <v/>
      </c>
      <c r="R102" s="52">
        <f>IFERROR(R95/R5,"")</f>
        <v/>
      </c>
      <c r="S102" s="52">
        <f>IFERROR(S95/S5,"")</f>
        <v/>
      </c>
      <c r="T102" s="52">
        <f>IFERROR(T95/T5,"")</f>
        <v/>
      </c>
      <c r="U102" s="52">
        <f>IFERROR(U95/U5,"")</f>
        <v/>
      </c>
      <c r="V102" s="52">
        <f>IFERROR(V95/V5,"")</f>
        <v/>
      </c>
      <c r="W102" s="52">
        <f>IFERROR(W95/W5,"")</f>
        <v/>
      </c>
      <c r="X102" s="52">
        <f>IFERROR(X95/X5,"")</f>
        <v/>
      </c>
      <c r="Y102" s="52">
        <f>IFERROR(Y95/Y5,"")</f>
        <v/>
      </c>
      <c r="Z102" s="52">
        <f>IFERROR(Z95/Z5,"")</f>
        <v/>
      </c>
      <c r="AA102" s="52">
        <f>IFERROR(AA95/AA5,"")</f>
        <v/>
      </c>
      <c r="AB102" s="52">
        <f>IFERROR(AB95/AB5,"")</f>
        <v/>
      </c>
      <c r="AC102" s="51" t="n"/>
      <c r="AD102" s="51" t="n"/>
      <c r="AE102" s="52">
        <f>IFERROR(AE95/AE5,"")</f>
        <v/>
      </c>
      <c r="AF102" s="52">
        <f>IFERROR(AF95/AF5,"")</f>
        <v/>
      </c>
      <c r="AG102" s="52">
        <f>IFERROR(AG95/AG5,"")</f>
        <v/>
      </c>
      <c r="AH102" s="52">
        <f>IFERROR(AH95/AH5,"")</f>
        <v/>
      </c>
      <c r="AI102" s="52">
        <f>IFERROR(AI95/AI5,"")</f>
        <v/>
      </c>
      <c r="AJ102" s="52">
        <f>IFERROR(AJ95/AJ5,"")</f>
        <v/>
      </c>
      <c r="AK102" s="52">
        <f>IFERROR(AK95/AK5,"")</f>
        <v/>
      </c>
      <c r="AL102" s="52">
        <f>IFERROR(AL95/AL5,"")</f>
        <v/>
      </c>
      <c r="AM102" s="52">
        <f>IFERROR(AM95/AM5,"")</f>
        <v/>
      </c>
      <c r="AN102" s="52">
        <f>IFERROR(AN95/AN5,"")</f>
        <v/>
      </c>
      <c r="AO102" s="52">
        <f>IFERROR(AO95/AO5,"")</f>
        <v/>
      </c>
      <c r="AP102" s="52">
        <f>IFERROR(AP95/AP5,"")</f>
        <v/>
      </c>
      <c r="AQ102" s="51" t="n"/>
      <c r="AR102" s="51" t="n"/>
      <c r="AS102" s="52">
        <f>IFERROR(AS95/AS5,"")</f>
        <v/>
      </c>
      <c r="AT102" s="52">
        <f>IFERROR(AT95/AT5,"")</f>
        <v/>
      </c>
      <c r="AU102" s="52">
        <f>IFERROR(AU95/AU5,"")</f>
        <v/>
      </c>
      <c r="AV102" s="52">
        <f>IFERROR(AV95/AV5,"")</f>
        <v/>
      </c>
      <c r="AW102" s="52">
        <f>IFERROR(AW95/AW5,"")</f>
        <v/>
      </c>
      <c r="AX102" s="52">
        <f>IFERROR(AX95/AX5,"")</f>
        <v/>
      </c>
      <c r="AY102" s="52">
        <f>IFERROR(AY95/AY5,"")</f>
        <v/>
      </c>
      <c r="AZ102" s="52">
        <f>IFERROR(AZ95/AZ5,"")</f>
        <v/>
      </c>
      <c r="BA102" s="52">
        <f>IFERROR(BA95/BA5,"")</f>
        <v/>
      </c>
      <c r="BB102" s="52">
        <f>IFERROR(BB95/BB5,"")</f>
        <v/>
      </c>
      <c r="BC102" s="52">
        <f>IFERROR(BC95/BC5,"")</f>
        <v/>
      </c>
      <c r="BD102" s="52">
        <f>IFERROR(BD95/BD5,"")</f>
        <v/>
      </c>
      <c r="BE102" s="52" t="n"/>
      <c r="BF102" s="52">
        <f>IFERROR(BF95/BF5,"")</f>
        <v/>
      </c>
      <c r="BG102" s="52">
        <f>IFERROR(BG95/BG5,"")</f>
        <v/>
      </c>
      <c r="BH102" s="52">
        <f>IFERROR(BH95/BH5,"")</f>
        <v/>
      </c>
      <c r="BI102" s="52">
        <f>IFERROR(BI95/BI5,"")</f>
        <v/>
      </c>
      <c r="BJ102" s="52">
        <f>IFERROR(BJ95/BJ5,"")</f>
        <v/>
      </c>
      <c r="BK102" s="52">
        <f>IFERROR(BK95/BK5,"")</f>
        <v/>
      </c>
      <c r="BL102" s="52">
        <f>IFERROR(BL95/BL5,"")</f>
        <v/>
      </c>
      <c r="BM102" s="51" t="n"/>
    </row>
    <row r="103">
      <c r="A103" s="5" t="n"/>
      <c r="BL103" s="35" t="n"/>
      <c r="BN103" s="28" t="n"/>
    </row>
    <row r="104">
      <c r="A104" s="1" t="inlineStr">
        <is>
          <t>OIL DIFF</t>
        </is>
      </c>
      <c r="C104" s="52">
        <f>IFERROR(C100-C97,"")</f>
        <v/>
      </c>
      <c r="D104" s="52">
        <f>IFERROR(D100-D97,"")</f>
        <v/>
      </c>
      <c r="E104" s="52">
        <f>IFERROR(E100-E97,"")</f>
        <v/>
      </c>
      <c r="F104" s="52">
        <f>IFERROR(F100-F97,"")</f>
        <v/>
      </c>
      <c r="G104" s="52">
        <f>IFERROR(G100-G97,"")</f>
        <v/>
      </c>
      <c r="H104" s="52">
        <f>IFERROR(H100-H97,"")</f>
        <v/>
      </c>
      <c r="I104" s="52">
        <f>IFERROR(I100-I97,"")</f>
        <v/>
      </c>
      <c r="J104" s="52">
        <f>IFERROR(J100-J97,"")</f>
        <v/>
      </c>
      <c r="K104" s="52">
        <f>IFERROR(K100-K97,"")</f>
        <v/>
      </c>
      <c r="L104" s="52">
        <f>IFERROR(L100-L97,"")</f>
        <v/>
      </c>
      <c r="M104" s="52">
        <f>IFERROR(M100-M97,"")</f>
        <v/>
      </c>
      <c r="N104" s="52">
        <f>IFERROR(N100-N97,"")</f>
        <v/>
      </c>
      <c r="O104" s="51" t="n"/>
      <c r="P104" s="51" t="n"/>
      <c r="Q104" s="52">
        <f>IFERROR(Q100-Q97,"")</f>
        <v/>
      </c>
      <c r="R104" s="52">
        <f>IFERROR(R100-R97,"")</f>
        <v/>
      </c>
      <c r="S104" s="52">
        <f>IFERROR(S100-S97,"")</f>
        <v/>
      </c>
      <c r="T104" s="52">
        <f>IFERROR(T100-T97,"")</f>
        <v/>
      </c>
      <c r="U104" s="52">
        <f>IFERROR(U100-U97,"")</f>
        <v/>
      </c>
      <c r="V104" s="52">
        <f>IFERROR(V100-V97,"")</f>
        <v/>
      </c>
      <c r="W104" s="52">
        <f>IFERROR(W100-W97,"")</f>
        <v/>
      </c>
      <c r="X104" s="52">
        <f>IFERROR(X100-X97,"")</f>
        <v/>
      </c>
      <c r="Y104" s="52">
        <f>IFERROR(Y100-Y97,"")</f>
        <v/>
      </c>
      <c r="Z104" s="52">
        <f>IFERROR(Z100-Z97,"")</f>
        <v/>
      </c>
      <c r="AA104" s="52">
        <f>IFERROR(AA100-AA97,"")</f>
        <v/>
      </c>
      <c r="AB104" s="52">
        <f>IFERROR(AB100-AB97,"")</f>
        <v/>
      </c>
      <c r="AC104" s="51" t="n"/>
      <c r="AD104" s="51" t="n"/>
      <c r="AE104" s="52">
        <f>IFERROR(AE100-AE97,"")</f>
        <v/>
      </c>
      <c r="AF104" s="52">
        <f>IFERROR(AF100-AF97,"")</f>
        <v/>
      </c>
      <c r="AG104" s="52">
        <f>IFERROR(AG100-AG97,"")</f>
        <v/>
      </c>
      <c r="AH104" s="52">
        <f>IFERROR(AH100-AH97,"")</f>
        <v/>
      </c>
      <c r="AI104" s="52">
        <f>IFERROR(AI100-AI97,"")</f>
        <v/>
      </c>
      <c r="AJ104" s="52">
        <f>IFERROR(AJ100-AJ97,"")</f>
        <v/>
      </c>
      <c r="AK104" s="52">
        <f>IFERROR(AK100-AK97,"")</f>
        <v/>
      </c>
      <c r="AL104" s="52">
        <f>IFERROR(AL100-AL97,"")</f>
        <v/>
      </c>
      <c r="AM104" s="52">
        <f>IFERROR(AM100-AM97,"")</f>
        <v/>
      </c>
      <c r="AN104" s="52">
        <f>IFERROR(AN100-AN97,"")</f>
        <v/>
      </c>
      <c r="AO104" s="52">
        <f>IFERROR(AO100-AO97,"")</f>
        <v/>
      </c>
      <c r="AP104" s="52">
        <f>IFERROR(AP100-AP97,"")</f>
        <v/>
      </c>
      <c r="AQ104" s="51" t="n"/>
      <c r="AR104" s="51" t="n"/>
      <c r="AS104" s="52">
        <f>IFERROR(AS100-AS97,"")</f>
        <v/>
      </c>
      <c r="AT104" s="52">
        <f>IFERROR(AT100-AT97,"")</f>
        <v/>
      </c>
      <c r="AU104" s="52">
        <f>IFERROR(AU100-AU97,"")</f>
        <v/>
      </c>
      <c r="AV104" s="52">
        <f>IFERROR(AV100-AV97,"")</f>
        <v/>
      </c>
      <c r="AW104" s="52">
        <f>IFERROR(AW100-AW97,"")</f>
        <v/>
      </c>
      <c r="AX104" s="52">
        <f>IFERROR(AX100-AX97,"")</f>
        <v/>
      </c>
      <c r="AY104" s="52">
        <f>IFERROR(AY100-AY97,"")</f>
        <v/>
      </c>
      <c r="AZ104" s="52">
        <f>IFERROR(AZ100-AZ97,"")</f>
        <v/>
      </c>
      <c r="BA104" s="52">
        <f>IFERROR(BA100-BA97,"")</f>
        <v/>
      </c>
      <c r="BB104" s="52">
        <f>IFERROR(BB100-BB97,"")</f>
        <v/>
      </c>
      <c r="BC104" s="52">
        <f>IFERROR(BC100-BC97,"")</f>
        <v/>
      </c>
      <c r="BD104" s="52">
        <f>IFERROR(BD100-BD97,"")</f>
        <v/>
      </c>
      <c r="BE104" s="52" t="n"/>
      <c r="BF104" s="52">
        <f>IFERROR(BF100-BF97,"")</f>
        <v/>
      </c>
      <c r="BG104" s="52">
        <f>IFERROR(BG100-BG97,"")</f>
        <v/>
      </c>
      <c r="BH104" s="52">
        <f>IFERROR(BH100-BH97,"")</f>
        <v/>
      </c>
      <c r="BI104" s="52">
        <f>IFERROR(BI100-BI97,"")</f>
        <v/>
      </c>
      <c r="BJ104" s="52">
        <f>IFERROR(BJ100-BJ97,"")</f>
        <v/>
      </c>
      <c r="BK104" s="52">
        <f>IFERROR(BK100-BK97,"")</f>
        <v/>
      </c>
      <c r="BL104" s="52">
        <f>IFERROR(BL100-BL97,"")</f>
        <v/>
      </c>
      <c r="BM104" s="52">
        <f>IFERROR(BM100-BM97,"")</f>
        <v/>
      </c>
      <c r="BN104" s="37" t="n"/>
      <c r="BO104" s="53" t="n"/>
    </row>
    <row r="105">
      <c r="A105" s="1" t="inlineStr">
        <is>
          <t>GAS DIFF</t>
        </is>
      </c>
      <c r="C105" s="52">
        <f>IFERROR(C101-C98,"")</f>
        <v/>
      </c>
      <c r="D105" s="52">
        <f>IFERROR(D101-D98,"")</f>
        <v/>
      </c>
      <c r="E105" s="52">
        <f>IFERROR(E101-E98,"")</f>
        <v/>
      </c>
      <c r="F105" s="52">
        <f>IFERROR(F101-F98,"")</f>
        <v/>
      </c>
      <c r="G105" s="52">
        <f>IFERROR(G101-G98,"")</f>
        <v/>
      </c>
      <c r="H105" s="52">
        <f>IFERROR(H101-H98,"")</f>
        <v/>
      </c>
      <c r="I105" s="52">
        <f>IFERROR(I101-I98,"")</f>
        <v/>
      </c>
      <c r="J105" s="52">
        <f>IFERROR(J101-J98,"")</f>
        <v/>
      </c>
      <c r="K105" s="52">
        <f>IFERROR(K101-K98,"")</f>
        <v/>
      </c>
      <c r="L105" s="52">
        <f>IFERROR(L101-L98,"")</f>
        <v/>
      </c>
      <c r="M105" s="52">
        <f>IFERROR(M101-M98,"")</f>
        <v/>
      </c>
      <c r="N105" s="52">
        <f>IFERROR(N101-N98,"")</f>
        <v/>
      </c>
      <c r="O105" s="51" t="n"/>
      <c r="P105" s="51" t="n"/>
      <c r="Q105" s="52">
        <f>IFERROR(Q101-Q98,"")</f>
        <v/>
      </c>
      <c r="R105" s="52">
        <f>IFERROR(R101-R98,"")</f>
        <v/>
      </c>
      <c r="S105" s="52">
        <f>IFERROR(S101-S98,"")</f>
        <v/>
      </c>
      <c r="T105" s="52">
        <f>IFERROR(T101-T98,"")</f>
        <v/>
      </c>
      <c r="U105" s="52">
        <f>IFERROR(U101-U98,"")</f>
        <v/>
      </c>
      <c r="V105" s="52">
        <f>IFERROR(V101-V98,"")</f>
        <v/>
      </c>
      <c r="W105" s="52">
        <f>IFERROR(W101-W98,"")</f>
        <v/>
      </c>
      <c r="X105" s="52">
        <f>IFERROR(X101-X98,"")</f>
        <v/>
      </c>
      <c r="Y105" s="52">
        <f>IFERROR(Y101-Y98,"")</f>
        <v/>
      </c>
      <c r="Z105" s="52">
        <f>IFERROR(Z101-Z98,"")</f>
        <v/>
      </c>
      <c r="AA105" s="52">
        <f>IFERROR(AA101-AA98,"")</f>
        <v/>
      </c>
      <c r="AB105" s="52">
        <f>IFERROR(AB101-AB98,"")</f>
        <v/>
      </c>
      <c r="AC105" s="51" t="n"/>
      <c r="AD105" s="51" t="n"/>
      <c r="AE105" s="52">
        <f>IFERROR(AE101-AE98,"")</f>
        <v/>
      </c>
      <c r="AF105" s="52">
        <f>IFERROR(AF101-AF98,"")</f>
        <v/>
      </c>
      <c r="AG105" s="52">
        <f>IFERROR(AG101-AG98,"")</f>
        <v/>
      </c>
      <c r="AH105" s="52">
        <f>IFERROR(AH101-AH98,"")</f>
        <v/>
      </c>
      <c r="AI105" s="52">
        <f>IFERROR(AI101-AI98,"")</f>
        <v/>
      </c>
      <c r="AJ105" s="52">
        <f>IFERROR(AJ101-AJ98,"")</f>
        <v/>
      </c>
      <c r="AK105" s="52">
        <f>IFERROR(AK101-AK98,"")</f>
        <v/>
      </c>
      <c r="AL105" s="52">
        <f>IFERROR(AL101-AL98,"")</f>
        <v/>
      </c>
      <c r="AM105" s="52">
        <f>IFERROR(AM101-AM98,"")</f>
        <v/>
      </c>
      <c r="AN105" s="52">
        <f>IFERROR(AN101-AN98,"")</f>
        <v/>
      </c>
      <c r="AO105" s="52">
        <f>IFERROR(AO101-AO98,"")</f>
        <v/>
      </c>
      <c r="AP105" s="52">
        <f>IFERROR(AP101-AP98,"")</f>
        <v/>
      </c>
      <c r="AQ105" s="51" t="n"/>
      <c r="AR105" s="51" t="n"/>
      <c r="AS105" s="52">
        <f>IFERROR(AS101-AS98,"")</f>
        <v/>
      </c>
      <c r="AT105" s="52">
        <f>IFERROR(AT101-AT98,"")</f>
        <v/>
      </c>
      <c r="AU105" s="52">
        <f>IFERROR(AU101-AU98,"")</f>
        <v/>
      </c>
      <c r="AV105" s="52">
        <f>IFERROR(AV101-AV98,"")</f>
        <v/>
      </c>
      <c r="AW105" s="52">
        <f>IFERROR(AW101-AW98,"")</f>
        <v/>
      </c>
      <c r="AX105" s="52">
        <f>IFERROR(AX101-AX98,"")</f>
        <v/>
      </c>
      <c r="AY105" s="52">
        <f>IFERROR(AY101-AY98,"")</f>
        <v/>
      </c>
      <c r="AZ105" s="52">
        <f>IFERROR(AZ101-AZ98,"")</f>
        <v/>
      </c>
      <c r="BA105" s="52">
        <f>IFERROR(BA101-BA98,"")</f>
        <v/>
      </c>
      <c r="BB105" s="52">
        <f>IFERROR(BB101-BB98,"")</f>
        <v/>
      </c>
      <c r="BC105" s="52">
        <f>IFERROR(BC101-BC98,"")</f>
        <v/>
      </c>
      <c r="BD105" s="52">
        <f>IFERROR(BD101-BD98,"")</f>
        <v/>
      </c>
      <c r="BE105" s="52" t="n"/>
      <c r="BF105" s="52">
        <f>IFERROR(BF101-BF98,"")</f>
        <v/>
      </c>
      <c r="BG105" s="52">
        <f>IFERROR(BG101-BG98,"")</f>
        <v/>
      </c>
      <c r="BH105" s="52">
        <f>IFERROR(BH101-BH98,"")</f>
        <v/>
      </c>
      <c r="BI105" s="52">
        <f>IFERROR(BI101-BI98,"")</f>
        <v/>
      </c>
      <c r="BJ105" s="52">
        <f>IFERROR(BJ101-BJ98,"")</f>
        <v/>
      </c>
      <c r="BK105" s="52">
        <f>IFERROR(BK101-BK98,"")</f>
        <v/>
      </c>
      <c r="BL105" s="52">
        <f>IFERROR(BL101-BL98,"")</f>
        <v/>
      </c>
      <c r="BM105" s="51" t="n"/>
      <c r="BN105" s="37" t="n"/>
      <c r="BO105" s="53" t="n"/>
    </row>
    <row r="106">
      <c r="A106" s="1" t="inlineStr">
        <is>
          <t>NGL DIFF, % OF OIL</t>
        </is>
      </c>
      <c r="C106" s="54">
        <f>IFERROR(C102/C97,"")</f>
        <v/>
      </c>
      <c r="D106" s="54">
        <f>IFERROR(D102/D97,"")</f>
        <v/>
      </c>
      <c r="E106" s="54">
        <f>IFERROR(E102/E97,"")</f>
        <v/>
      </c>
      <c r="F106" s="54">
        <f>IFERROR(F102/F97,"")</f>
        <v/>
      </c>
      <c r="G106" s="54">
        <f>IFERROR(G102/G97,"")</f>
        <v/>
      </c>
      <c r="H106" s="54">
        <f>IFERROR(H102/H97,"")</f>
        <v/>
      </c>
      <c r="I106" s="54">
        <f>IFERROR(I102/I97,"")</f>
        <v/>
      </c>
      <c r="J106" s="54">
        <f>IFERROR(J102/J97,"")</f>
        <v/>
      </c>
      <c r="K106" s="54">
        <f>IFERROR(K102/K97,"")</f>
        <v/>
      </c>
      <c r="L106" s="54">
        <f>IFERROR(L102/L97,"")</f>
        <v/>
      </c>
      <c r="M106" s="54">
        <f>IFERROR(M102/M97,"")</f>
        <v/>
      </c>
      <c r="N106" s="54">
        <f>IFERROR(N102/N97,"")</f>
        <v/>
      </c>
      <c r="Q106" s="54">
        <f>IFERROR(Q102/Q97,"")</f>
        <v/>
      </c>
      <c r="R106" s="54">
        <f>IFERROR(R102/R97,"")</f>
        <v/>
      </c>
      <c r="S106" s="54">
        <f>IFERROR(S102/S97,"")</f>
        <v/>
      </c>
      <c r="T106" s="54">
        <f>IFERROR(T102/T97,"")</f>
        <v/>
      </c>
      <c r="U106" s="54">
        <f>IFERROR(U102/U97,"")</f>
        <v/>
      </c>
      <c r="V106" s="54">
        <f>IFERROR(V102/V97,"")</f>
        <v/>
      </c>
      <c r="W106" s="54">
        <f>IFERROR(W102/W97,"")</f>
        <v/>
      </c>
      <c r="X106" s="54">
        <f>IFERROR(X102/X97,"")</f>
        <v/>
      </c>
      <c r="Y106" s="54">
        <f>IFERROR(Y102/Y97,"")</f>
        <v/>
      </c>
      <c r="Z106" s="54">
        <f>IFERROR(Z102/Z97,"")</f>
        <v/>
      </c>
      <c r="AA106" s="54">
        <f>IFERROR(AA102/AA97,"")</f>
        <v/>
      </c>
      <c r="AB106" s="54">
        <f>IFERROR(AB102/AB97,"")</f>
        <v/>
      </c>
      <c r="AE106" s="54">
        <f>IFERROR(AE102/AE97,"")</f>
        <v/>
      </c>
      <c r="AF106" s="54">
        <f>IFERROR(AF102/AF97,"")</f>
        <v/>
      </c>
      <c r="AG106" s="54">
        <f>IFERROR(AG102/AG97,"")</f>
        <v/>
      </c>
      <c r="AH106" s="54">
        <f>IFERROR(AH102/AH97,"")</f>
        <v/>
      </c>
      <c r="AI106" s="54">
        <f>IFERROR(AI102/AI97,"")</f>
        <v/>
      </c>
      <c r="AJ106" s="54">
        <f>IFERROR(AJ102/AJ97,"")</f>
        <v/>
      </c>
      <c r="AK106" s="54">
        <f>IFERROR(AK102/AK97,"")</f>
        <v/>
      </c>
      <c r="AL106" s="54">
        <f>IFERROR(AL102/AL97,"")</f>
        <v/>
      </c>
      <c r="AM106" s="54">
        <f>IFERROR(AM102/AM97,"")</f>
        <v/>
      </c>
      <c r="AN106" s="54">
        <f>IFERROR(AN102/AN97,"")</f>
        <v/>
      </c>
      <c r="AO106" s="54">
        <f>IFERROR(AO102/AO97,"")</f>
        <v/>
      </c>
      <c r="AP106" s="54">
        <f>IFERROR(AP102/AP97,"")</f>
        <v/>
      </c>
      <c r="AS106" s="54">
        <f>IFERROR(AS102/AS97,"")</f>
        <v/>
      </c>
      <c r="AT106" s="54">
        <f>IFERROR(AT102/AT97,"")</f>
        <v/>
      </c>
      <c r="AU106" s="54">
        <f>IFERROR(AU102/AU97,"")</f>
        <v/>
      </c>
      <c r="AV106" s="54">
        <f>IFERROR(AV102/AV97,"")</f>
        <v/>
      </c>
      <c r="AW106" s="54">
        <f>IFERROR(AW102/AW97,"")</f>
        <v/>
      </c>
      <c r="AX106" s="54">
        <f>IFERROR(AX102/AX97,"")</f>
        <v/>
      </c>
      <c r="AY106" s="54">
        <f>IFERROR(AY102/AY97,"")</f>
        <v/>
      </c>
      <c r="AZ106" s="54">
        <f>IFERROR(AZ102/AZ97,"")</f>
        <v/>
      </c>
      <c r="BA106" s="54">
        <f>IFERROR(BA102/BA97,"")</f>
        <v/>
      </c>
      <c r="BB106" s="54">
        <f>IFERROR(BB102/BB97,"")</f>
        <v/>
      </c>
      <c r="BC106" s="54">
        <f>IFERROR(BC102/BC97,"")</f>
        <v/>
      </c>
      <c r="BD106" s="54">
        <f>IFERROR(BD102/BD97,"")</f>
        <v/>
      </c>
      <c r="BE106" s="54">
        <f>IFERROR(BE102/BE97,"")</f>
        <v/>
      </c>
      <c r="BF106" s="54">
        <f>IFERROR(BF102/BF97,"")</f>
        <v/>
      </c>
      <c r="BG106" s="54">
        <f>IFERROR(BG102/BG97,"")</f>
        <v/>
      </c>
      <c r="BH106" s="54">
        <f>IFERROR(BH102/BH97,"")</f>
        <v/>
      </c>
      <c r="BI106" s="54">
        <f>IFERROR(BI102/BI97,"")</f>
        <v/>
      </c>
      <c r="BJ106" s="54">
        <f>IFERROR(BJ102/BJ97,"")</f>
        <v/>
      </c>
      <c r="BK106" s="54">
        <f>IFERROR(BK102/BK97,"")</f>
        <v/>
      </c>
      <c r="BL106" s="54">
        <f>IFERROR(BL102/BL97,"")</f>
        <v/>
      </c>
      <c r="BN106" s="37" t="n"/>
      <c r="BO106" s="53" t="n"/>
    </row>
    <row r="107">
      <c r="BN107" s="37" t="n"/>
      <c r="BO107" s="53" t="n"/>
    </row>
    <row r="108">
      <c r="A108" s="1" t="inlineStr">
        <is>
          <t>NET BOEPD</t>
        </is>
      </c>
      <c r="C108" s="44">
        <f>IFERROR(C6/DAY(EOMONTH(C2,0)),"")</f>
        <v/>
      </c>
      <c r="D108" s="44">
        <f>IFERROR(D6/DAY(EOMONTH(D2,0)),"")</f>
        <v/>
      </c>
      <c r="E108" s="44">
        <f>IFERROR(E6/DAY(EOMONTH(E2,0)),"")</f>
        <v/>
      </c>
      <c r="F108" s="44">
        <f>IFERROR(F6/DAY(EOMONTH(F2,0)),"")</f>
        <v/>
      </c>
      <c r="G108" s="44">
        <f>IFERROR(G6/DAY(EOMONTH(G2,0)),"")</f>
        <v/>
      </c>
      <c r="H108" s="44">
        <f>IFERROR(H6/DAY(EOMONTH(H2,0)),"")</f>
        <v/>
      </c>
      <c r="I108" s="44">
        <f>IFERROR(I6/DAY(EOMONTH(I2,0)),"")</f>
        <v/>
      </c>
      <c r="J108" s="44">
        <f>IFERROR(J6/DAY(EOMONTH(J2,0)),"")</f>
        <v/>
      </c>
      <c r="K108" s="44">
        <f>IFERROR(K6/DAY(EOMONTH(K2,0)),"")</f>
        <v/>
      </c>
      <c r="L108" s="44">
        <f>IFERROR(L6/DAY(EOMONTH(L2,0)),"")</f>
        <v/>
      </c>
      <c r="M108" s="44">
        <f>IFERROR(M6/DAY(EOMONTH(M2,0)),"")</f>
        <v/>
      </c>
      <c r="N108" s="44">
        <f>IFERROR(N6/DAY(EOMONTH(N2,0)),"")</f>
        <v/>
      </c>
      <c r="O108" s="43" t="n"/>
      <c r="P108" s="43" t="n"/>
      <c r="Q108" s="44">
        <f>IFERROR(Q6/DAY(EOMONTH(Q2,0)),"")</f>
        <v/>
      </c>
      <c r="R108" s="44">
        <f>IFERROR(R6/DAY(EOMONTH(R2,0)),"")</f>
        <v/>
      </c>
      <c r="S108" s="44">
        <f>IFERROR(S6/DAY(EOMONTH(S2,0)),"")</f>
        <v/>
      </c>
      <c r="T108" s="44">
        <f>IFERROR(T6/DAY(EOMONTH(T2,0)),"")</f>
        <v/>
      </c>
      <c r="U108" s="44">
        <f>IFERROR(U6/DAY(EOMONTH(U2,0)),"")</f>
        <v/>
      </c>
      <c r="V108" s="44">
        <f>IFERROR(V6/DAY(EOMONTH(V2,0)),"")</f>
        <v/>
      </c>
      <c r="W108" s="44">
        <f>IFERROR(W6/DAY(EOMONTH(W2,0)),"")</f>
        <v/>
      </c>
      <c r="X108" s="44">
        <f>IFERROR(X6/DAY(EOMONTH(X2,0)),"")</f>
        <v/>
      </c>
      <c r="Y108" s="44">
        <f>IFERROR(Y6/DAY(EOMONTH(Y2,0)),"")</f>
        <v/>
      </c>
      <c r="Z108" s="44">
        <f>IFERROR(Z6/DAY(EOMONTH(Z2,0)),"")</f>
        <v/>
      </c>
      <c r="AA108" s="44">
        <f>IFERROR(AA6/DAY(EOMONTH(AA2,0)),"")</f>
        <v/>
      </c>
      <c r="AB108" s="44">
        <f>IFERROR(AB6/DAY(EOMONTH(AB2,0)),"")</f>
        <v/>
      </c>
      <c r="AC108" s="43" t="n"/>
      <c r="AD108" s="43" t="n"/>
      <c r="AE108" s="44">
        <f>IFERROR(AE6/DAY(EOMONTH(AE2,0)),"")</f>
        <v/>
      </c>
      <c r="AF108" s="44">
        <f>IFERROR(AF6/DAY(EOMONTH(AF2,0)),"")</f>
        <v/>
      </c>
      <c r="AG108" s="44">
        <f>IFERROR(AG6/DAY(EOMONTH(AG2,0)),"")</f>
        <v/>
      </c>
      <c r="AH108" s="44">
        <f>IFERROR(AH6/DAY(EOMONTH(AH2,0)),"")</f>
        <v/>
      </c>
      <c r="AI108" s="44">
        <f>IFERROR(AI6/DAY(EOMONTH(AI2,0)),"")</f>
        <v/>
      </c>
      <c r="AJ108" s="44">
        <f>IFERROR(AJ6/DAY(EOMONTH(AJ2,0)),"")</f>
        <v/>
      </c>
      <c r="AK108" s="44">
        <f>IFERROR(AK6/DAY(EOMONTH(AK2,0)),"")</f>
        <v/>
      </c>
      <c r="AL108" s="44">
        <f>IFERROR(AL6/DAY(EOMONTH(AL2,0)),"")</f>
        <v/>
      </c>
      <c r="AM108" s="44">
        <f>IFERROR(AM6/DAY(EOMONTH(AM2,0)),"")</f>
        <v/>
      </c>
      <c r="AN108" s="44">
        <f>IFERROR(AN6/DAY(EOMONTH(AN2,0)),"")</f>
        <v/>
      </c>
      <c r="AO108" s="44">
        <f>IFERROR(AO6/DAY(EOMONTH(AO2,0)),"")</f>
        <v/>
      </c>
      <c r="AP108" s="44">
        <f>IFERROR(AP6/DAY(EOMONTH(AP2,0)),"")</f>
        <v/>
      </c>
      <c r="AQ108" s="43" t="n"/>
      <c r="AR108" s="43" t="n"/>
      <c r="AS108" s="44">
        <f>IFERROR(AS6/DAY(EOMONTH(AS2,0)),"")</f>
        <v/>
      </c>
      <c r="AT108" s="44">
        <f>IFERROR(AT6/DAY(EOMONTH(AT2,0)),"")</f>
        <v/>
      </c>
      <c r="AU108" s="44">
        <f>IFERROR(AU6/DAY(EOMONTH(AU2,0)),"")</f>
        <v/>
      </c>
      <c r="AV108" s="44">
        <f>IFERROR(AV6/DAY(EOMONTH(AV2,0)),"")</f>
        <v/>
      </c>
      <c r="AW108" s="44">
        <f>IFERROR(AW6/DAY(EOMONTH(AW2,0)),"")</f>
        <v/>
      </c>
      <c r="AX108" s="44">
        <f>IFERROR(AX6/DAY(EOMONTH(AX2,0)),"")</f>
        <v/>
      </c>
      <c r="AY108" s="44">
        <f>IFERROR(AY6/DAY(EOMONTH(AY2,0)),"")</f>
        <v/>
      </c>
      <c r="AZ108" s="44">
        <f>IFERROR(AZ6/DAY(EOMONTH(AZ2,0)),"")</f>
        <v/>
      </c>
      <c r="BA108" s="44">
        <f>IFERROR(BA6/DAY(EOMONTH(BA2,0)),"")</f>
        <v/>
      </c>
      <c r="BB108" s="44">
        <f>IFERROR(BB6/DAY(EOMONTH(BB2,0)),"")</f>
        <v/>
      </c>
      <c r="BC108" s="44">
        <f>IFERROR(BC6/DAY(EOMONTH(BC2,0)),"")</f>
        <v/>
      </c>
      <c r="BD108" s="44">
        <f>IFERROR(BD6/DAY(EOMONTH(BD2,0)),"")</f>
        <v/>
      </c>
      <c r="BE108" s="44">
        <f>IFERROR(BE6/DAY(EOMONTH(BE2,0)),"")</f>
        <v/>
      </c>
      <c r="BF108" s="44" t="n"/>
      <c r="BG108" s="44">
        <f>IFERROR(BG6/DAY(EOMONTH(BG2,0)),"")</f>
        <v/>
      </c>
      <c r="BH108" s="44">
        <f>IFERROR(BH6/DAY(EOMONTH(BH2,0)),"")</f>
        <v/>
      </c>
      <c r="BI108" s="44">
        <f>IFERROR(BI6/DAY(EOMONTH(BI2,0)),"")</f>
        <v/>
      </c>
      <c r="BJ108" s="44">
        <f>IFERROR(BJ6/DAY(EOMONTH(BJ2,0)),"")</f>
        <v/>
      </c>
      <c r="BK108" s="44">
        <f>IFERROR(BK6/DAY(EOMONTH(BK2,0)),"")</f>
        <v/>
      </c>
      <c r="BL108" s="44">
        <f>IFERROR(BL6/DAY(EOMONTH(BL2,0)),"")</f>
        <v/>
      </c>
      <c r="BM108" s="43" t="n"/>
      <c r="BN108" s="33" t="n"/>
    </row>
    <row r="109">
      <c r="A109" s="1" t="n"/>
      <c r="BN109" s="33" t="n"/>
    </row>
    <row r="110">
      <c r="BN110" s="33" t="n"/>
    </row>
  </sheetData>
  <pageMargins left="0.7" right="0.7" top="0.75" bottom="0.75" header="0.3" footer="0.3"/>
  <pageSetup orientation="portrait" scale="11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08"/>
  <sheetViews>
    <sheetView view="pageBreakPreview" zoomScale="85" zoomScaleNormal="85" zoomScaleSheet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39.5703125" bestFit="1" customWidth="1" min="1" max="1"/>
    <col width="13.7109375" bestFit="1" customWidth="1" min="3" max="10"/>
    <col width="15" bestFit="1" customWidth="1" min="11" max="11"/>
    <col width="13.7109375" bestFit="1" customWidth="1" min="12" max="12"/>
    <col width="14.7109375" bestFit="1" customWidth="1" min="13" max="13"/>
    <col width="14.5703125" bestFit="1" customWidth="1" min="14" max="14"/>
    <col width="11.42578125" bestFit="1" customWidth="1" min="15" max="15"/>
    <col width="12.42578125" bestFit="1" customWidth="1" min="17" max="17"/>
    <col width="13.42578125" bestFit="1" customWidth="1" min="18" max="18"/>
    <col width="11.42578125" bestFit="1" customWidth="1" min="19" max="23"/>
    <col width="11.5703125" bestFit="1" customWidth="1" min="24" max="24"/>
    <col width="15" bestFit="1" customWidth="1" min="25" max="25"/>
    <col width="12.5703125" bestFit="1" customWidth="1" min="26" max="26"/>
    <col width="14.7109375" bestFit="1" customWidth="1" min="27" max="27"/>
    <col width="14.5703125" bestFit="1" customWidth="1" min="28" max="28"/>
    <col width="12.42578125" bestFit="1" customWidth="1" min="29" max="29"/>
    <col width="12.28515625" customWidth="1" min="31" max="37"/>
    <col width="10.85546875" customWidth="1" min="38" max="38"/>
  </cols>
  <sheetData>
    <row r="1">
      <c r="A1" s="28" t="inlineStr">
        <is>
          <t>LSBV NET LOS - EXCLUDES P&amp;A AND SOLD WELLS</t>
        </is>
      </c>
    </row>
    <row r="2" customFormat="1" s="8">
      <c r="A2" s="8" t="inlineStr">
        <is>
          <t>Production:</t>
        </is>
      </c>
      <c r="C2" s="8" t="inlineStr">
        <is>
          <t>January 2024</t>
        </is>
      </c>
      <c r="D2" s="8" t="inlineStr">
        <is>
          <t>February 2024</t>
        </is>
      </c>
      <c r="E2" s="8" t="inlineStr">
        <is>
          <t>March 2024</t>
        </is>
      </c>
      <c r="F2" s="8" t="inlineStr">
        <is>
          <t>April 2024</t>
        </is>
      </c>
      <c r="G2" s="8" t="inlineStr">
        <is>
          <t>May 2024</t>
        </is>
      </c>
      <c r="H2" s="8" t="inlineStr">
        <is>
          <t>June 2024</t>
        </is>
      </c>
      <c r="I2" s="8" t="inlineStr">
        <is>
          <t>July 2024</t>
        </is>
      </c>
      <c r="J2" s="8" t="inlineStr">
        <is>
          <t>August 2024</t>
        </is>
      </c>
      <c r="K2" s="8" t="inlineStr">
        <is>
          <t>September 2024</t>
        </is>
      </c>
      <c r="L2" s="8" t="inlineStr">
        <is>
          <t>October 2024</t>
        </is>
      </c>
      <c r="M2" s="8" t="inlineStr">
        <is>
          <t>November 2024</t>
        </is>
      </c>
      <c r="N2" s="8" t="inlineStr">
        <is>
          <t>December 2024</t>
        </is>
      </c>
      <c r="O2" s="8" t="inlineStr">
        <is>
          <t>2024 Total</t>
        </is>
      </c>
      <c r="Q2" s="8" t="inlineStr">
        <is>
          <t>January 2025</t>
        </is>
      </c>
      <c r="R2" s="8" t="inlineStr">
        <is>
          <t>February 2025</t>
        </is>
      </c>
      <c r="S2" s="8" t="inlineStr">
        <is>
          <t>March 2025</t>
        </is>
      </c>
      <c r="T2" s="8" t="inlineStr">
        <is>
          <t>April 2025</t>
        </is>
      </c>
      <c r="U2" s="8" t="inlineStr">
        <is>
          <t>May 2025</t>
        </is>
      </c>
      <c r="V2" s="8" t="inlineStr">
        <is>
          <t>June 2025</t>
        </is>
      </c>
      <c r="W2" s="8" t="inlineStr">
        <is>
          <t>July 2025</t>
        </is>
      </c>
      <c r="X2" s="8" t="inlineStr">
        <is>
          <t>August 2025</t>
        </is>
      </c>
      <c r="Y2" s="8" t="inlineStr">
        <is>
          <t>September 2025</t>
        </is>
      </c>
      <c r="Z2" s="8" t="inlineStr">
        <is>
          <t>October 2025</t>
        </is>
      </c>
      <c r="AA2" s="8" t="inlineStr">
        <is>
          <t>November 2025</t>
        </is>
      </c>
      <c r="AB2" s="8" t="inlineStr">
        <is>
          <t>December 2025</t>
        </is>
      </c>
      <c r="AC2" s="8" t="inlineStr">
        <is>
          <t>2025 Total</t>
        </is>
      </c>
      <c r="AE2" s="8" t="inlineStr">
        <is>
          <t>January 2026</t>
        </is>
      </c>
      <c r="AF2" s="8" t="inlineStr">
        <is>
          <t>February 2026</t>
        </is>
      </c>
      <c r="AG2" s="8" t="inlineStr">
        <is>
          <t>March 2026</t>
        </is>
      </c>
      <c r="AH2" s="8" t="inlineStr">
        <is>
          <t>April 2026</t>
        </is>
      </c>
      <c r="AI2" s="8" t="inlineStr">
        <is>
          <t>May 2026</t>
        </is>
      </c>
      <c r="AJ2" s="8" t="inlineStr">
        <is>
          <t>June 2026</t>
        </is>
      </c>
      <c r="AK2" s="8" t="inlineStr">
        <is>
          <t>July 2026</t>
        </is>
      </c>
    </row>
    <row r="3">
      <c r="A3" t="inlineStr">
        <is>
          <t>Oil sales</t>
        </is>
      </c>
      <c r="B3" t="inlineStr">
        <is>
          <t>Bbl</t>
        </is>
      </c>
      <c r="C3" s="43" t="n">
        <v>46203.93</v>
      </c>
      <c r="D3" s="43" t="n">
        <v>75417.61</v>
      </c>
      <c r="E3" s="43" t="n">
        <v>119943.91</v>
      </c>
      <c r="F3" s="43" t="n">
        <v>171699.88</v>
      </c>
      <c r="G3" s="43" t="n">
        <v>180627.39</v>
      </c>
      <c r="H3" s="43" t="n">
        <v>204421.11</v>
      </c>
      <c r="I3" s="43" t="n">
        <v>173892.32</v>
      </c>
      <c r="J3" s="43" t="n">
        <v>167932.43</v>
      </c>
      <c r="K3" s="43" t="n">
        <v>139591.99</v>
      </c>
      <c r="L3" s="43" t="n">
        <v>161320.72</v>
      </c>
      <c r="M3" s="43" t="n">
        <v>154290.14</v>
      </c>
      <c r="N3" s="43" t="n">
        <v>118224.4</v>
      </c>
      <c r="O3" s="43" t="n">
        <v>1713565.83</v>
      </c>
      <c r="P3" s="43" t="n"/>
      <c r="Q3" s="43" t="n">
        <v>145526.69</v>
      </c>
      <c r="R3" s="43" t="n">
        <v>132900.82</v>
      </c>
      <c r="S3" s="43" t="n">
        <v>118683.35</v>
      </c>
      <c r="T3" s="43" t="n">
        <v>104374.49</v>
      </c>
      <c r="U3" s="43" t="n">
        <v>106150.38</v>
      </c>
      <c r="V3" s="43" t="n">
        <v>107385.25</v>
      </c>
      <c r="W3" s="43" t="n">
        <v>94223.53999999999</v>
      </c>
      <c r="X3" s="43" t="n">
        <v>93319.55</v>
      </c>
      <c r="Y3" s="43" t="n">
        <v>88020.25</v>
      </c>
      <c r="Z3" s="43" t="n">
        <v>96141.12</v>
      </c>
      <c r="AA3" s="43" t="n">
        <v>83786.69</v>
      </c>
      <c r="AB3" s="43" t="n">
        <v>69557.37</v>
      </c>
      <c r="AC3" s="43" t="n">
        <v>1240069.49</v>
      </c>
      <c r="AD3" s="43" t="n"/>
      <c r="AE3" s="43" t="n">
        <v>73681.7</v>
      </c>
      <c r="AF3" s="43" t="n">
        <v>63867.57</v>
      </c>
      <c r="AG3" s="43" t="n">
        <v>68908.95</v>
      </c>
      <c r="AH3" s="43" t="n">
        <v>56308.83</v>
      </c>
      <c r="AI3" s="43" t="n">
        <v>62285.03</v>
      </c>
      <c r="AJ3" s="43" t="n">
        <v>57745.97</v>
      </c>
      <c r="AK3" s="43" t="n">
        <v>59325.85</v>
      </c>
    </row>
    <row r="4">
      <c r="A4" t="inlineStr">
        <is>
          <t>Natural gas sales</t>
        </is>
      </c>
      <c r="B4" t="inlineStr">
        <is>
          <t>Mcf</t>
        </is>
      </c>
      <c r="C4" s="43" t="n">
        <v>273456.06</v>
      </c>
      <c r="D4" s="43" t="n">
        <v>421162.85</v>
      </c>
      <c r="E4" s="43" t="n">
        <v>584087.8</v>
      </c>
      <c r="F4" s="43" t="n">
        <v>793377.37</v>
      </c>
      <c r="G4" s="43" t="n">
        <v>814106.21</v>
      </c>
      <c r="H4" s="43" t="n">
        <v>1092105.49</v>
      </c>
      <c r="I4" s="43" t="n">
        <v>972230.9300000001</v>
      </c>
      <c r="J4" s="43" t="n">
        <v>799578.01</v>
      </c>
      <c r="K4" s="43" t="n">
        <v>643446.5600000001</v>
      </c>
      <c r="L4" s="43" t="n">
        <v>890059.38</v>
      </c>
      <c r="M4" s="43" t="n">
        <v>767131.63</v>
      </c>
      <c r="N4" s="43" t="n">
        <v>669275.23</v>
      </c>
      <c r="O4" s="43" t="n">
        <v>8720017.52</v>
      </c>
      <c r="P4" s="43" t="n"/>
      <c r="Q4" s="43" t="n">
        <v>753514.1</v>
      </c>
      <c r="R4" s="43" t="n">
        <v>758682.41</v>
      </c>
      <c r="S4" s="43" t="n">
        <v>656486.98</v>
      </c>
      <c r="T4" s="43" t="n">
        <v>557564.86</v>
      </c>
      <c r="U4" s="43" t="n">
        <v>498624.24</v>
      </c>
      <c r="V4" s="43" t="n">
        <v>620381.4300000001</v>
      </c>
      <c r="W4" s="43" t="n">
        <v>557759.27</v>
      </c>
      <c r="X4" s="43" t="n">
        <v>477223.78</v>
      </c>
      <c r="Y4" s="43" t="n">
        <v>433183.35</v>
      </c>
      <c r="Z4" s="43" t="n">
        <v>435259.72</v>
      </c>
      <c r="AA4" s="43" t="n">
        <v>497778.74</v>
      </c>
      <c r="AB4" s="43" t="n">
        <v>314356.81</v>
      </c>
      <c r="AC4" s="43" t="n">
        <v>6560815.7</v>
      </c>
      <c r="AD4" s="43" t="n"/>
      <c r="AE4" s="43" t="n">
        <v>404509.01</v>
      </c>
      <c r="AF4" s="43" t="n">
        <v>347869.15</v>
      </c>
      <c r="AG4" s="43" t="n">
        <v>381068.88</v>
      </c>
      <c r="AH4" s="43" t="n">
        <v>329858.19</v>
      </c>
      <c r="AI4" s="43" t="n">
        <v>316677.36</v>
      </c>
      <c r="AJ4" s="43" t="n">
        <v>290624.04</v>
      </c>
      <c r="AK4" s="43" t="n">
        <v>285051.37</v>
      </c>
    </row>
    <row r="5">
      <c r="A5" t="inlineStr">
        <is>
          <t>Natural gas liquid sales</t>
        </is>
      </c>
      <c r="B5" t="inlineStr">
        <is>
          <t>Bbl</t>
        </is>
      </c>
      <c r="C5" s="43" t="n">
        <v>28452.63</v>
      </c>
      <c r="D5" s="43" t="n">
        <v>54016.19</v>
      </c>
      <c r="E5" s="43" t="n">
        <v>71601.87</v>
      </c>
      <c r="F5" s="43" t="n">
        <v>97573.53999999999</v>
      </c>
      <c r="G5" s="43" t="n">
        <v>90957.49000000001</v>
      </c>
      <c r="H5" s="43" t="n">
        <v>142007.47</v>
      </c>
      <c r="I5" s="43" t="n">
        <v>126937.1</v>
      </c>
      <c r="J5" s="43" t="n">
        <v>109104.77</v>
      </c>
      <c r="K5" s="43" t="n">
        <v>76665.10000000001</v>
      </c>
      <c r="L5" s="43" t="n">
        <v>98848.19</v>
      </c>
      <c r="M5" s="43" t="n">
        <v>89262.2</v>
      </c>
      <c r="N5" s="43" t="n">
        <v>84274.78999999999</v>
      </c>
      <c r="O5" s="43" t="n">
        <v>1069701.36</v>
      </c>
      <c r="P5" s="43" t="n"/>
      <c r="Q5" s="43" t="n">
        <v>90684.7</v>
      </c>
      <c r="R5" s="43" t="n">
        <v>102781.14</v>
      </c>
      <c r="S5" s="43" t="n">
        <v>80715.85000000001</v>
      </c>
      <c r="T5" s="43" t="n">
        <v>70116.66</v>
      </c>
      <c r="U5" s="43" t="n">
        <v>68037.86</v>
      </c>
      <c r="V5" s="43" t="n">
        <v>62448.29</v>
      </c>
      <c r="W5" s="43" t="n">
        <v>72854.42999999999</v>
      </c>
      <c r="X5" s="43" t="n">
        <v>50871.29</v>
      </c>
      <c r="Y5" s="43" t="n">
        <v>52028.22</v>
      </c>
      <c r="Z5" s="43" t="n">
        <v>54669.61</v>
      </c>
      <c r="AA5" s="43" t="n">
        <v>66879.58</v>
      </c>
      <c r="AB5" s="43" t="n">
        <v>40473.1</v>
      </c>
      <c r="AC5" s="43" t="n">
        <v>812560.74</v>
      </c>
      <c r="AD5" s="43" t="n"/>
      <c r="AE5" s="43" t="n">
        <v>45064.13</v>
      </c>
      <c r="AF5" s="43" t="n">
        <v>35835.2</v>
      </c>
      <c r="AG5" s="43" t="n">
        <v>51728.53</v>
      </c>
      <c r="AH5" s="43" t="n">
        <v>39040.5</v>
      </c>
      <c r="AI5" s="43" t="n">
        <v>36149.88</v>
      </c>
      <c r="AJ5" s="43" t="n">
        <v>31370.49</v>
      </c>
      <c r="AK5" s="43" t="n">
        <v>30618.27</v>
      </c>
    </row>
    <row r="6">
      <c r="A6" t="inlineStr">
        <is>
          <t>Grand Total</t>
        </is>
      </c>
      <c r="B6" t="inlineStr">
        <is>
          <t>BOE</t>
        </is>
      </c>
      <c r="C6" s="43" t="n">
        <v>120232.57</v>
      </c>
      <c r="D6" s="43" t="n">
        <v>199627.61</v>
      </c>
      <c r="E6" s="43" t="n">
        <v>288893.75</v>
      </c>
      <c r="F6" s="43" t="n">
        <v>401502.98</v>
      </c>
      <c r="G6" s="43" t="n">
        <v>407269.25</v>
      </c>
      <c r="H6" s="43" t="n">
        <v>528446.16</v>
      </c>
      <c r="I6" s="43" t="n">
        <v>462867.91</v>
      </c>
      <c r="J6" s="43" t="n">
        <v>410300.2</v>
      </c>
      <c r="K6" s="43" t="n">
        <v>323498.18</v>
      </c>
      <c r="L6" s="43" t="n">
        <v>408512.15</v>
      </c>
      <c r="M6" s="43" t="n">
        <v>371407.62</v>
      </c>
      <c r="N6" s="43" t="n">
        <v>314045.06</v>
      </c>
      <c r="O6" s="43" t="n">
        <v>4236603.44</v>
      </c>
      <c r="P6" s="43" t="n"/>
      <c r="Q6" s="43" t="n">
        <v>361797.08</v>
      </c>
      <c r="R6" s="43" t="n">
        <v>362129.03</v>
      </c>
      <c r="S6" s="43" t="n">
        <v>308813.69</v>
      </c>
      <c r="T6" s="43" t="n">
        <v>267418.63</v>
      </c>
      <c r="U6" s="43" t="n">
        <v>257292.29</v>
      </c>
      <c r="V6" s="43" t="n">
        <v>273230.44</v>
      </c>
      <c r="W6" s="43" t="n">
        <v>260037.85</v>
      </c>
      <c r="X6" s="43" t="n">
        <v>223728.13</v>
      </c>
      <c r="Y6" s="43" t="n">
        <v>212245.7</v>
      </c>
      <c r="Z6" s="43" t="n">
        <v>223354.02</v>
      </c>
      <c r="AA6" s="43" t="n">
        <v>233629.39</v>
      </c>
      <c r="AB6" s="43" t="n">
        <v>162423.27</v>
      </c>
      <c r="AC6" s="43" t="n">
        <v>3146099.51</v>
      </c>
      <c r="AD6" s="43" t="n"/>
      <c r="AE6" s="43" t="n">
        <v>186164</v>
      </c>
      <c r="AF6" s="43" t="n">
        <v>157680.96</v>
      </c>
      <c r="AG6" s="43" t="n">
        <v>184148.96</v>
      </c>
      <c r="AH6" s="43" t="n">
        <v>150325.69</v>
      </c>
      <c r="AI6" s="43" t="n">
        <v>151214.47</v>
      </c>
      <c r="AJ6" s="43" t="n">
        <v>137553.8</v>
      </c>
      <c r="AK6" s="43" t="n">
        <v>137452.68</v>
      </c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</row>
    <row r="8">
      <c r="A8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</row>
    <row r="9">
      <c r="A9" t="inlineStr">
        <is>
          <t>Oil sales</t>
        </is>
      </c>
      <c r="B9" t="inlineStr">
        <is>
          <t>$</t>
        </is>
      </c>
      <c r="C9" s="38" t="n">
        <v>3523396.07</v>
      </c>
      <c r="D9" s="38" t="n">
        <v>4497950.88</v>
      </c>
      <c r="E9" s="38" t="n">
        <v>9552544.09</v>
      </c>
      <c r="F9" s="38" t="n">
        <v>12166905.69</v>
      </c>
      <c r="G9" s="38" t="n">
        <v>11973621.01</v>
      </c>
      <c r="H9" s="38" t="n">
        <v>11949873.25</v>
      </c>
      <c r="I9" s="38" t="n">
        <v>11153239.15</v>
      </c>
      <c r="J9" s="38" t="n">
        <v>11869887.41</v>
      </c>
      <c r="K9" s="38" t="n">
        <v>9051433.220000001</v>
      </c>
      <c r="L9" s="38" t="n">
        <v>10199741.61</v>
      </c>
      <c r="M9" s="38" t="n">
        <v>9635846.98</v>
      </c>
      <c r="N9" s="38" t="n">
        <v>7161263.14</v>
      </c>
      <c r="O9" s="38" t="n">
        <v>112735702.49</v>
      </c>
      <c r="P9" s="38" t="n"/>
      <c r="Q9" s="38" t="n">
        <v>10635460.2</v>
      </c>
      <c r="R9" s="38" t="n">
        <v>10506230.4</v>
      </c>
      <c r="S9" s="38" t="n">
        <v>9719383.33</v>
      </c>
      <c r="T9" s="38" t="n">
        <v>7642692.05</v>
      </c>
      <c r="U9" s="38" t="n">
        <v>6630953.86</v>
      </c>
      <c r="V9" s="38" t="n">
        <v>8336389.83</v>
      </c>
      <c r="W9" s="38" t="n">
        <v>6427768.91</v>
      </c>
      <c r="X9" s="38" t="n">
        <v>5616305.12</v>
      </c>
      <c r="Y9" s="38" t="n">
        <v>6998257.06</v>
      </c>
      <c r="Z9" s="38" t="n">
        <v>6084096.7</v>
      </c>
      <c r="AA9" s="38" t="n">
        <v>6568348.63</v>
      </c>
      <c r="AB9" s="38" t="n">
        <v>4040813.87</v>
      </c>
      <c r="AC9" s="38" t="n">
        <v>89206699.95999999</v>
      </c>
      <c r="AD9" s="38" t="n"/>
      <c r="AE9" s="38" t="n">
        <v>4644112.57</v>
      </c>
      <c r="AF9" s="38" t="n">
        <v>4517888.15</v>
      </c>
      <c r="AG9" s="38" t="n">
        <v>4986384.33</v>
      </c>
      <c r="AH9" s="38" t="n">
        <v>4549848.44</v>
      </c>
      <c r="AI9" s="38" t="n">
        <v>3988044.94</v>
      </c>
      <c r="AJ9" s="38" t="n">
        <v>4580695.99</v>
      </c>
      <c r="AK9" s="38" t="n">
        <v>3475453.38</v>
      </c>
    </row>
    <row r="10">
      <c r="A10" t="inlineStr">
        <is>
          <t>Natural gas sales</t>
        </is>
      </c>
      <c r="B10" t="inlineStr">
        <is>
          <t>$</t>
        </is>
      </c>
      <c r="C10" s="38" t="n">
        <v>363104.62</v>
      </c>
      <c r="D10" s="38" t="n">
        <v>234967.84</v>
      </c>
      <c r="E10" s="38" t="n">
        <v>95735.08</v>
      </c>
      <c r="F10" s="38" t="n">
        <v>269747.68</v>
      </c>
      <c r="G10" s="38" t="n">
        <v>-377938.42</v>
      </c>
      <c r="H10" s="38" t="n">
        <v>1257335.54</v>
      </c>
      <c r="I10" s="38" t="n">
        <v>-601671.1</v>
      </c>
      <c r="J10" s="38" t="n">
        <v>-205119.25</v>
      </c>
      <c r="K10" s="38" t="n">
        <v>-257026.73</v>
      </c>
      <c r="L10" s="38" t="n">
        <v>-847435.99</v>
      </c>
      <c r="M10" s="38" t="n">
        <v>501907.33</v>
      </c>
      <c r="N10" s="38" t="n">
        <v>332940.65</v>
      </c>
      <c r="O10" s="38" t="n">
        <v>766547.25</v>
      </c>
      <c r="P10" s="38" t="n"/>
      <c r="Q10" s="38" t="n">
        <v>381160.67</v>
      </c>
      <c r="R10" s="38" t="n">
        <v>597895.1899999999</v>
      </c>
      <c r="S10" s="38" t="n">
        <v>-218055.51</v>
      </c>
      <c r="T10" s="38" t="n">
        <v>547378.62</v>
      </c>
      <c r="U10" s="38" t="n">
        <v>-65476.64</v>
      </c>
      <c r="V10" s="38" t="n">
        <v>675640.75</v>
      </c>
      <c r="W10" s="38" t="n">
        <v>17646.98</v>
      </c>
      <c r="X10" s="38" t="n">
        <v>1131788.12</v>
      </c>
      <c r="Y10" s="38" t="n">
        <v>-374233.96</v>
      </c>
      <c r="Z10" s="38" t="n">
        <v>1072956.1</v>
      </c>
      <c r="AA10" s="38" t="n">
        <v>545698.96</v>
      </c>
      <c r="AB10" s="38" t="n">
        <v>642112.96</v>
      </c>
      <c r="AC10" s="38" t="n">
        <v>4954512.27</v>
      </c>
      <c r="AD10" s="38" t="n"/>
      <c r="AE10" s="38" t="n">
        <v>81831.21000000001</v>
      </c>
      <c r="AF10" s="38" t="n">
        <v>218475.07</v>
      </c>
      <c r="AG10" s="38" t="n">
        <v>489423.67</v>
      </c>
      <c r="AH10" s="38" t="n">
        <v>-166827.18</v>
      </c>
      <c r="AI10" s="38" t="n">
        <v>685426.23</v>
      </c>
      <c r="AJ10" s="38" t="n">
        <v>-169405.66</v>
      </c>
      <c r="AK10" s="38" t="n">
        <v>106836.12</v>
      </c>
    </row>
    <row r="11">
      <c r="A11" t="inlineStr">
        <is>
          <t>Natural gas liquid sales</t>
        </is>
      </c>
      <c r="B11" t="inlineStr">
        <is>
          <t>$</t>
        </is>
      </c>
      <c r="C11" s="38" t="n">
        <v>326301.56</v>
      </c>
      <c r="D11" s="38" t="n">
        <v>1217884.81</v>
      </c>
      <c r="E11" s="38" t="n">
        <v>1019471.87</v>
      </c>
      <c r="F11" s="38" t="n">
        <v>1697695.27</v>
      </c>
      <c r="G11" s="38" t="n">
        <v>1606475.04</v>
      </c>
      <c r="H11" s="38" t="n">
        <v>2850906.63</v>
      </c>
      <c r="I11" s="38" t="n">
        <v>2597154.64</v>
      </c>
      <c r="J11" s="38" t="n">
        <v>2272322.36</v>
      </c>
      <c r="K11" s="38" t="n">
        <v>966822.1800000001</v>
      </c>
      <c r="L11" s="38" t="n">
        <v>1696460.6</v>
      </c>
      <c r="M11" s="38" t="n">
        <v>862336.04</v>
      </c>
      <c r="N11" s="38" t="n">
        <v>777040.14</v>
      </c>
      <c r="O11" s="38" t="n">
        <v>17890871.14</v>
      </c>
      <c r="P11" s="38" t="n"/>
      <c r="Q11" s="38" t="n">
        <v>884940.63</v>
      </c>
      <c r="R11" s="38" t="n">
        <v>1826582.62</v>
      </c>
      <c r="S11" s="38" t="n">
        <v>654320.1899999999</v>
      </c>
      <c r="T11" s="38" t="n">
        <v>600409.28</v>
      </c>
      <c r="U11" s="38" t="n">
        <v>813932.15</v>
      </c>
      <c r="V11" s="38" t="n">
        <v>1079272.73</v>
      </c>
      <c r="W11" s="38" t="n">
        <v>1631825.69</v>
      </c>
      <c r="X11" s="38" t="n">
        <v>547254.8</v>
      </c>
      <c r="Y11" s="38" t="n">
        <v>747788.03</v>
      </c>
      <c r="Z11" s="38" t="n">
        <v>909102.49</v>
      </c>
      <c r="AA11" s="38" t="n">
        <v>1433686.27</v>
      </c>
      <c r="AB11" s="38" t="n">
        <v>802281.79</v>
      </c>
      <c r="AC11" s="38" t="n">
        <v>11931396.67</v>
      </c>
      <c r="AD11" s="38" t="n"/>
      <c r="AE11" s="38" t="n">
        <v>861029.74</v>
      </c>
      <c r="AF11" s="38" t="n">
        <v>608221.33</v>
      </c>
      <c r="AG11" s="38" t="n">
        <v>801900.71</v>
      </c>
      <c r="AH11" s="38" t="n">
        <v>768589.78</v>
      </c>
      <c r="AI11" s="38" t="n">
        <v>578842.22</v>
      </c>
      <c r="AJ11" s="38" t="n">
        <v>396004.67</v>
      </c>
      <c r="AK11" s="38" t="n">
        <v>389783.81</v>
      </c>
    </row>
    <row r="12">
      <c r="A12" t="inlineStr">
        <is>
          <t>Total Revenue</t>
        </is>
      </c>
      <c r="C12" s="38" t="n">
        <v>4212802.26</v>
      </c>
      <c r="D12" s="38" t="n">
        <v>5950803.53</v>
      </c>
      <c r="E12" s="38" t="n">
        <v>10667751.04</v>
      </c>
      <c r="F12" s="38" t="n">
        <v>14134348.64</v>
      </c>
      <c r="G12" s="38" t="n">
        <v>13202157.63</v>
      </c>
      <c r="H12" s="38" t="n">
        <v>16058115.42</v>
      </c>
      <c r="I12" s="38" t="n">
        <v>13148722.69</v>
      </c>
      <c r="J12" s="38" t="n">
        <v>13937090.52</v>
      </c>
      <c r="K12" s="38" t="n">
        <v>9761228.67</v>
      </c>
      <c r="L12" s="38" t="n">
        <v>11048766.23</v>
      </c>
      <c r="M12" s="38" t="n">
        <v>11000090.34</v>
      </c>
      <c r="N12" s="38" t="n">
        <v>8271243.93</v>
      </c>
      <c r="O12" s="38" t="n">
        <v>131393120.89</v>
      </c>
      <c r="P12" s="38" t="n"/>
      <c r="Q12" s="38" t="n">
        <v>11901561.5</v>
      </c>
      <c r="R12" s="38" t="n">
        <v>12930708.22</v>
      </c>
      <c r="S12" s="38" t="n">
        <v>10155648.02</v>
      </c>
      <c r="T12" s="38" t="n">
        <v>8790479.949999999</v>
      </c>
      <c r="U12" s="38" t="n">
        <v>7379409.37</v>
      </c>
      <c r="V12" s="38" t="n">
        <v>10091303.32</v>
      </c>
      <c r="W12" s="38" t="n">
        <v>8077241.59</v>
      </c>
      <c r="X12" s="38" t="n">
        <v>7295348.04</v>
      </c>
      <c r="Y12" s="38" t="n">
        <v>7371811.13</v>
      </c>
      <c r="Z12" s="38" t="n">
        <v>8066155.29</v>
      </c>
      <c r="AA12" s="38" t="n">
        <v>8547733.859999999</v>
      </c>
      <c r="AB12" s="38" t="n">
        <v>5485208.62</v>
      </c>
      <c r="AC12" s="38" t="n">
        <v>106092608.9</v>
      </c>
      <c r="AD12" s="38" t="n"/>
      <c r="AE12" s="38" t="n">
        <v>5586973.53</v>
      </c>
      <c r="AF12" s="38" t="n">
        <v>5344584.55</v>
      </c>
      <c r="AG12" s="38" t="n">
        <v>6277708.71</v>
      </c>
      <c r="AH12" s="38" t="n">
        <v>5151611.05</v>
      </c>
      <c r="AI12" s="38" t="n">
        <v>5252313.39</v>
      </c>
      <c r="AJ12" s="38" t="n">
        <v>4807295.01</v>
      </c>
      <c r="AK12" s="38" t="n">
        <v>3972073.31</v>
      </c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</row>
    <row r="15">
      <c r="A15" t="inlineStr">
        <is>
          <t xml:space="preserve">Oil </t>
        </is>
      </c>
      <c r="B15" t="inlineStr">
        <is>
          <t>$/Bbl</t>
        </is>
      </c>
      <c r="C15" s="51" t="n">
        <v>76.26000000000001</v>
      </c>
      <c r="D15" s="51" t="n">
        <v>59.64</v>
      </c>
      <c r="E15" s="51" t="n">
        <v>79.64</v>
      </c>
      <c r="F15" s="51" t="n">
        <v>70.86</v>
      </c>
      <c r="G15" s="51" t="n">
        <v>66.29000000000001</v>
      </c>
      <c r="H15" s="51" t="n">
        <v>58.46</v>
      </c>
      <c r="I15" s="51" t="n">
        <v>64.14</v>
      </c>
      <c r="J15" s="51" t="n">
        <v>70.68000000000001</v>
      </c>
      <c r="K15" s="51" t="n">
        <v>64.84</v>
      </c>
      <c r="L15" s="51" t="n">
        <v>63.23</v>
      </c>
      <c r="M15" s="51" t="n">
        <v>62.45</v>
      </c>
      <c r="N15" s="51" t="n">
        <v>60.57</v>
      </c>
      <c r="O15" s="51" t="n">
        <v>66.422</v>
      </c>
      <c r="P15" s="51" t="n"/>
      <c r="Q15" s="51" t="n">
        <v>73.08</v>
      </c>
      <c r="R15" s="51" t="n">
        <v>79.05</v>
      </c>
      <c r="S15" s="51" t="n">
        <v>81.89</v>
      </c>
      <c r="T15" s="51" t="n">
        <v>73.22</v>
      </c>
      <c r="U15" s="51" t="n">
        <v>62.47</v>
      </c>
      <c r="V15" s="51" t="n">
        <v>77.63</v>
      </c>
      <c r="W15" s="51" t="n">
        <v>68.22</v>
      </c>
      <c r="X15" s="51" t="n">
        <v>60.18</v>
      </c>
      <c r="Y15" s="51" t="n">
        <v>79.51000000000001</v>
      </c>
      <c r="Z15" s="51" t="n">
        <v>63.28</v>
      </c>
      <c r="AA15" s="51" t="n">
        <v>78.39</v>
      </c>
      <c r="AB15" s="51" t="n">
        <v>58.09</v>
      </c>
      <c r="AC15" s="51" t="n">
        <v>71.2525</v>
      </c>
      <c r="AD15" s="51" t="n"/>
      <c r="AE15" s="51" t="n">
        <v>63.03</v>
      </c>
      <c r="AF15" s="51" t="n">
        <v>70.73999999999999</v>
      </c>
      <c r="AG15" s="51" t="n">
        <v>72.36</v>
      </c>
      <c r="AH15" s="51" t="n">
        <v>80.8</v>
      </c>
      <c r="AI15" s="51" t="n">
        <v>64.03</v>
      </c>
      <c r="AJ15" s="51" t="n">
        <v>79.31999999999999</v>
      </c>
      <c r="AK15" s="51" t="n">
        <v>58.58</v>
      </c>
    </row>
    <row r="16">
      <c r="A16" t="inlineStr">
        <is>
          <t>Natural gas</t>
        </is>
      </c>
      <c r="B16" t="inlineStr">
        <is>
          <t>$/Mcf</t>
        </is>
      </c>
      <c r="C16" s="51" t="n">
        <v>1.33</v>
      </c>
      <c r="D16" s="51" t="n">
        <v>0.5600000000000001</v>
      </c>
      <c r="E16" s="51" t="n">
        <v>0.16</v>
      </c>
      <c r="F16" s="51" t="n">
        <v>0.34</v>
      </c>
      <c r="G16" s="51" t="n">
        <v>-0.46</v>
      </c>
      <c r="H16" s="51" t="n">
        <v>1.15</v>
      </c>
      <c r="I16" s="51" t="n">
        <v>-0.62</v>
      </c>
      <c r="J16" s="51" t="n">
        <v>-0.26</v>
      </c>
      <c r="K16" s="51" t="n">
        <v>-0.4</v>
      </c>
      <c r="L16" s="51" t="n">
        <v>-0.95</v>
      </c>
      <c r="M16" s="51" t="n">
        <v>0.65</v>
      </c>
      <c r="N16" s="51" t="n">
        <v>0.5</v>
      </c>
      <c r="O16" s="51" t="n">
        <v>0.1668</v>
      </c>
      <c r="P16" s="51" t="n"/>
      <c r="Q16" s="51" t="n">
        <v>0.51</v>
      </c>
      <c r="R16" s="51" t="n">
        <v>0.79</v>
      </c>
      <c r="S16" s="51" t="n">
        <v>-0.33</v>
      </c>
      <c r="T16" s="51" t="n">
        <v>0.98</v>
      </c>
      <c r="U16" s="51" t="n">
        <v>-0.13</v>
      </c>
      <c r="V16" s="51" t="n">
        <v>1.09</v>
      </c>
      <c r="W16" s="51" t="n">
        <v>0.03</v>
      </c>
      <c r="X16" s="51" t="n">
        <v>2.37</v>
      </c>
      <c r="Y16" s="51" t="n">
        <v>-0.86</v>
      </c>
      <c r="Z16" s="51" t="n">
        <v>2.47</v>
      </c>
      <c r="AA16" s="51" t="n">
        <v>1.1</v>
      </c>
      <c r="AB16" s="51" t="n">
        <v>2.04</v>
      </c>
      <c r="AC16" s="51" t="n">
        <v>0.837</v>
      </c>
      <c r="AD16" s="51" t="n"/>
      <c r="AE16" s="51" t="n">
        <v>0.2</v>
      </c>
      <c r="AF16" s="51" t="n">
        <v>0.63</v>
      </c>
      <c r="AG16" s="51" t="n">
        <v>1.28</v>
      </c>
      <c r="AH16" s="51" t="n">
        <v>-0.51</v>
      </c>
      <c r="AI16" s="51" t="n">
        <v>2.16</v>
      </c>
      <c r="AJ16" s="51" t="n">
        <v>-0.58</v>
      </c>
      <c r="AK16" s="51" t="n">
        <v>0.37</v>
      </c>
    </row>
    <row r="17">
      <c r="A17" t="inlineStr">
        <is>
          <t>Natural gas liquids</t>
        </is>
      </c>
      <c r="B17" t="inlineStr">
        <is>
          <t>$/Bbl</t>
        </is>
      </c>
      <c r="C17" s="51" t="n">
        <v>11.47</v>
      </c>
      <c r="D17" s="51" t="n">
        <v>22.55</v>
      </c>
      <c r="E17" s="51" t="n">
        <v>14.24</v>
      </c>
      <c r="F17" s="51" t="n">
        <v>17.4</v>
      </c>
      <c r="G17" s="51" t="n">
        <v>17.66</v>
      </c>
      <c r="H17" s="51" t="n">
        <v>20.08</v>
      </c>
      <c r="I17" s="51" t="n">
        <v>20.46</v>
      </c>
      <c r="J17" s="51" t="n">
        <v>20.83</v>
      </c>
      <c r="K17" s="51" t="n">
        <v>12.61</v>
      </c>
      <c r="L17" s="51" t="n">
        <v>17.16</v>
      </c>
      <c r="M17" s="51" t="n">
        <v>9.66</v>
      </c>
      <c r="N17" s="51" t="n">
        <v>9.220000000000001</v>
      </c>
      <c r="O17" s="51" t="n">
        <v>16.1109</v>
      </c>
      <c r="P17" s="51" t="n"/>
      <c r="Q17" s="51" t="n">
        <v>9.76</v>
      </c>
      <c r="R17" s="51" t="n">
        <v>17.77</v>
      </c>
      <c r="S17" s="51" t="n">
        <v>8.109999999999999</v>
      </c>
      <c r="T17" s="51" t="n">
        <v>8.56</v>
      </c>
      <c r="U17" s="51" t="n">
        <v>11.96</v>
      </c>
      <c r="V17" s="51" t="n">
        <v>17.28</v>
      </c>
      <c r="W17" s="51" t="n">
        <v>22.4</v>
      </c>
      <c r="X17" s="51" t="n">
        <v>10.76</v>
      </c>
      <c r="Y17" s="51" t="n">
        <v>14.37</v>
      </c>
      <c r="Z17" s="51" t="n">
        <v>16.63</v>
      </c>
      <c r="AA17" s="51" t="n">
        <v>21.44</v>
      </c>
      <c r="AB17" s="51" t="n">
        <v>19.82</v>
      </c>
      <c r="AC17" s="51" t="n">
        <v>14.9052</v>
      </c>
      <c r="AD17" s="51" t="n"/>
      <c r="AE17" s="51" t="n">
        <v>19.11</v>
      </c>
      <c r="AF17" s="51" t="n">
        <v>16.97</v>
      </c>
      <c r="AG17" s="51" t="n">
        <v>15.5</v>
      </c>
      <c r="AH17" s="51" t="n">
        <v>19.69</v>
      </c>
      <c r="AI17" s="51" t="n">
        <v>16.01</v>
      </c>
      <c r="AJ17" s="51" t="n">
        <v>12.62</v>
      </c>
      <c r="AK17" s="51" t="n">
        <v>12.73</v>
      </c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t="inlineStr">
        <is>
          <t>Production tax - Oil</t>
        </is>
      </c>
      <c r="C20" s="38" t="n">
        <v>162076.22</v>
      </c>
      <c r="D20" s="38" t="n">
        <v>206905.74</v>
      </c>
      <c r="E20" s="38" t="n">
        <v>439417.03</v>
      </c>
      <c r="F20" s="38" t="n">
        <v>559677.66</v>
      </c>
      <c r="G20" s="38" t="n">
        <v>550786.5699999999</v>
      </c>
      <c r="H20" s="38" t="n">
        <v>549694.17</v>
      </c>
      <c r="I20" s="38" t="n">
        <v>513049</v>
      </c>
      <c r="J20" s="38" t="n">
        <v>546014.8199999999</v>
      </c>
      <c r="K20" s="38" t="n">
        <v>416365.93</v>
      </c>
      <c r="L20" s="38" t="n">
        <v>469188.11</v>
      </c>
      <c r="M20" s="38" t="n">
        <v>443248.96</v>
      </c>
      <c r="N20" s="38" t="n">
        <v>329418.1</v>
      </c>
      <c r="O20" s="38" t="n">
        <v>5185842.31</v>
      </c>
      <c r="P20" s="38" t="n"/>
      <c r="Q20" s="38" t="n">
        <v>489231.17</v>
      </c>
      <c r="R20" s="38" t="n">
        <v>483286.6</v>
      </c>
      <c r="S20" s="38" t="n">
        <v>447091.63</v>
      </c>
      <c r="T20" s="38" t="n">
        <v>351563.83</v>
      </c>
      <c r="U20" s="38" t="n">
        <v>305023.88</v>
      </c>
      <c r="V20" s="38" t="n">
        <v>383473.93</v>
      </c>
      <c r="W20" s="38" t="n">
        <v>295677.37</v>
      </c>
      <c r="X20" s="38" t="n">
        <v>258350.04</v>
      </c>
      <c r="Y20" s="38" t="n">
        <v>321919.82</v>
      </c>
      <c r="Z20" s="38" t="n">
        <v>279868.45</v>
      </c>
      <c r="AA20" s="38" t="n">
        <v>302144.04</v>
      </c>
      <c r="AB20" s="38" t="n">
        <v>185877.44</v>
      </c>
      <c r="AC20" s="38" t="n">
        <v>4103508.2</v>
      </c>
      <c r="AD20" s="38" t="n"/>
      <c r="AE20" s="38" t="n">
        <v>213629.18</v>
      </c>
      <c r="AF20" s="38" t="n">
        <v>207822.86</v>
      </c>
      <c r="AG20" s="38" t="n">
        <v>229373.68</v>
      </c>
      <c r="AH20" s="38" t="n">
        <v>209293.03</v>
      </c>
      <c r="AI20" s="38" t="n">
        <v>183450.07</v>
      </c>
      <c r="AJ20" s="38" t="n">
        <v>210712.02</v>
      </c>
      <c r="AK20" s="38" t="n">
        <v>159870.86</v>
      </c>
    </row>
    <row r="21">
      <c r="A21" t="inlineStr">
        <is>
          <t>Production tax - Gas</t>
        </is>
      </c>
      <c r="C21" s="38" t="n">
        <v>16702.81</v>
      </c>
      <c r="D21" s="38" t="n">
        <v>10808.52</v>
      </c>
      <c r="E21" s="38" t="n">
        <v>4403.81</v>
      </c>
      <c r="F21" s="38" t="n">
        <v>12408.39</v>
      </c>
      <c r="G21" s="38" t="n">
        <v>0</v>
      </c>
      <c r="H21" s="38" t="n">
        <v>57837.43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23087.74</v>
      </c>
      <c r="N21" s="38" t="n">
        <v>15315.27</v>
      </c>
      <c r="O21" s="38" t="n">
        <v>140563.98</v>
      </c>
      <c r="P21" s="38" t="n"/>
      <c r="Q21" s="38" t="n">
        <v>17533.39</v>
      </c>
      <c r="R21" s="38" t="n">
        <v>27503.18</v>
      </c>
      <c r="S21" s="38" t="n">
        <v>0</v>
      </c>
      <c r="T21" s="38" t="n">
        <v>25179.42</v>
      </c>
      <c r="U21" s="38" t="n">
        <v>0</v>
      </c>
      <c r="V21" s="38" t="n">
        <v>31079.47</v>
      </c>
      <c r="W21" s="38" t="n">
        <v>811.76</v>
      </c>
      <c r="X21" s="38" t="n">
        <v>52062.25</v>
      </c>
      <c r="Y21" s="38" t="n">
        <v>0</v>
      </c>
      <c r="Z21" s="38" t="n">
        <v>49355.98</v>
      </c>
      <c r="AA21" s="38" t="n">
        <v>25102.15</v>
      </c>
      <c r="AB21" s="38" t="n">
        <v>29537.2</v>
      </c>
      <c r="AC21" s="38" t="n">
        <v>258164.81</v>
      </c>
      <c r="AD21" s="38" t="n"/>
      <c r="AE21" s="38" t="n">
        <v>3764.24</v>
      </c>
      <c r="AF21" s="38" t="n">
        <v>10049.85</v>
      </c>
      <c r="AG21" s="38" t="n">
        <v>22513.49</v>
      </c>
      <c r="AH21" s="38" t="n">
        <v>0</v>
      </c>
      <c r="AI21" s="38" t="n">
        <v>31529.61</v>
      </c>
      <c r="AJ21" s="38" t="n">
        <v>0</v>
      </c>
      <c r="AK21" s="38" t="n">
        <v>4914.46</v>
      </c>
    </row>
    <row r="22">
      <c r="A22" t="inlineStr">
        <is>
          <t>Production tax - Liquids</t>
        </is>
      </c>
      <c r="C22" s="38" t="n">
        <v>15009.87</v>
      </c>
      <c r="D22" s="38" t="n">
        <v>56022.7</v>
      </c>
      <c r="E22" s="38" t="n">
        <v>46895.71</v>
      </c>
      <c r="F22" s="38" t="n">
        <v>78093.98</v>
      </c>
      <c r="G22" s="38" t="n">
        <v>73897.85000000001</v>
      </c>
      <c r="H22" s="38" t="n">
        <v>131141.7</v>
      </c>
      <c r="I22" s="38" t="n">
        <v>119469.11</v>
      </c>
      <c r="J22" s="38" t="n">
        <v>104526.83</v>
      </c>
      <c r="K22" s="38" t="n">
        <v>44473.82</v>
      </c>
      <c r="L22" s="38" t="n">
        <v>78037.19</v>
      </c>
      <c r="M22" s="38" t="n">
        <v>39667.46</v>
      </c>
      <c r="N22" s="38" t="n">
        <v>35743.85</v>
      </c>
      <c r="O22" s="38" t="n">
        <v>822980.0699999999</v>
      </c>
      <c r="P22" s="38" t="n"/>
      <c r="Q22" s="38" t="n">
        <v>40707.27</v>
      </c>
      <c r="R22" s="38" t="n">
        <v>84022.8</v>
      </c>
      <c r="S22" s="38" t="n">
        <v>30098.73</v>
      </c>
      <c r="T22" s="38" t="n">
        <v>27618.83</v>
      </c>
      <c r="U22" s="38" t="n">
        <v>37440.88</v>
      </c>
      <c r="V22" s="38" t="n">
        <v>49646.55</v>
      </c>
      <c r="W22" s="38" t="n">
        <v>75063.98</v>
      </c>
      <c r="X22" s="38" t="n">
        <v>25173.72</v>
      </c>
      <c r="Y22" s="38" t="n">
        <v>34398.25</v>
      </c>
      <c r="Z22" s="38" t="n">
        <v>41818.71</v>
      </c>
      <c r="AA22" s="38" t="n">
        <v>65949.57000000001</v>
      </c>
      <c r="AB22" s="38" t="n">
        <v>36904.96</v>
      </c>
      <c r="AC22" s="38" t="n">
        <v>548844.25</v>
      </c>
      <c r="AD22" s="38" t="n"/>
      <c r="AE22" s="38" t="n">
        <v>39607.37</v>
      </c>
      <c r="AF22" s="38" t="n">
        <v>27978.18</v>
      </c>
      <c r="AG22" s="38" t="n">
        <v>36887.43</v>
      </c>
      <c r="AH22" s="38" t="n">
        <v>35355.13</v>
      </c>
      <c r="AI22" s="38" t="n">
        <v>26626.74</v>
      </c>
      <c r="AJ22" s="38" t="n">
        <v>18216.21</v>
      </c>
      <c r="AK22" s="38" t="n">
        <v>17930.06</v>
      </c>
    </row>
    <row r="23">
      <c r="A23" t="inlineStr">
        <is>
          <t>Total Production Tax</t>
        </is>
      </c>
      <c r="C23" s="38" t="n">
        <v>193788.9</v>
      </c>
      <c r="D23" s="38" t="n">
        <v>273736.96</v>
      </c>
      <c r="E23" s="38" t="n">
        <v>490716.55</v>
      </c>
      <c r="F23" s="38" t="n">
        <v>650180.04</v>
      </c>
      <c r="G23" s="38" t="n">
        <v>624684.42</v>
      </c>
      <c r="H23" s="38" t="n">
        <v>738673.3100000001</v>
      </c>
      <c r="I23" s="38" t="n">
        <v>632518.11</v>
      </c>
      <c r="J23" s="38" t="n">
        <v>650541.65</v>
      </c>
      <c r="K23" s="38" t="n">
        <v>460839.75</v>
      </c>
      <c r="L23" s="38" t="n">
        <v>547225.3</v>
      </c>
      <c r="M23" s="38" t="n">
        <v>506004.16</v>
      </c>
      <c r="N23" s="38" t="n">
        <v>380477.22</v>
      </c>
      <c r="O23" s="38" t="n">
        <v>6149386.37</v>
      </c>
      <c r="P23" s="38" t="n"/>
      <c r="Q23" s="38" t="n">
        <v>547471.83</v>
      </c>
      <c r="R23" s="38" t="n">
        <v>594812.58</v>
      </c>
      <c r="S23" s="38" t="n">
        <v>477190.36</v>
      </c>
      <c r="T23" s="38" t="n">
        <v>404362.08</v>
      </c>
      <c r="U23" s="38" t="n">
        <v>342464.76</v>
      </c>
      <c r="V23" s="38" t="n">
        <v>464199.95</v>
      </c>
      <c r="W23" s="38" t="n">
        <v>371553.11</v>
      </c>
      <c r="X23" s="38" t="n">
        <v>335586.01</v>
      </c>
      <c r="Y23" s="38" t="n">
        <v>356318.07</v>
      </c>
      <c r="Z23" s="38" t="n">
        <v>371043.14</v>
      </c>
      <c r="AA23" s="38" t="n">
        <v>393195.76</v>
      </c>
      <c r="AB23" s="38" t="n">
        <v>252319.6</v>
      </c>
      <c r="AC23" s="38" t="n">
        <v>4910517.25</v>
      </c>
      <c r="AD23" s="38" t="n"/>
      <c r="AE23" s="38" t="n">
        <v>257000.78</v>
      </c>
      <c r="AF23" s="38" t="n">
        <v>245850.89</v>
      </c>
      <c r="AG23" s="38" t="n">
        <v>288774.6</v>
      </c>
      <c r="AH23" s="38" t="n">
        <v>244648.16</v>
      </c>
      <c r="AI23" s="38" t="n">
        <v>241606.42</v>
      </c>
      <c r="AJ23" s="38" t="n">
        <v>228928.23</v>
      </c>
      <c r="AK23" s="38" t="n">
        <v>182715.37</v>
      </c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>
      <c r="A25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A26" t="inlineStr">
        <is>
          <t>Revenue Deducts - Oil</t>
        </is>
      </c>
      <c r="C26" s="38" t="n">
        <v>65852.64999999999</v>
      </c>
      <c r="D26" s="38" t="n">
        <v>40357.13</v>
      </c>
      <c r="E26" s="38" t="n">
        <v>116861.94</v>
      </c>
      <c r="F26" s="38" t="n">
        <v>106497.38</v>
      </c>
      <c r="G26" s="38" t="n">
        <v>187526.71</v>
      </c>
      <c r="H26" s="38" t="n">
        <v>144313.75</v>
      </c>
      <c r="I26" s="38" t="n">
        <v>119068.17</v>
      </c>
      <c r="J26" s="38" t="n">
        <v>176741.79</v>
      </c>
      <c r="K26" s="38" t="n">
        <v>169868.84</v>
      </c>
      <c r="L26" s="38" t="n">
        <v>168493.4</v>
      </c>
      <c r="M26" s="38" t="n">
        <v>206327.06</v>
      </c>
      <c r="N26" s="38" t="n">
        <v>113953.72</v>
      </c>
      <c r="O26" s="38" t="n">
        <v>1615862.55</v>
      </c>
      <c r="P26" s="38" t="n"/>
      <c r="Q26" s="38" t="n">
        <v>120870.26</v>
      </c>
      <c r="R26" s="38" t="n">
        <v>144696.68</v>
      </c>
      <c r="S26" s="38" t="n">
        <v>152586.39</v>
      </c>
      <c r="T26" s="38" t="n">
        <v>143404.51</v>
      </c>
      <c r="U26" s="38" t="n">
        <v>150589.18</v>
      </c>
      <c r="V26" s="38" t="n">
        <v>120930.06</v>
      </c>
      <c r="W26" s="38" t="n">
        <v>47224.84</v>
      </c>
      <c r="X26" s="38" t="n">
        <v>138895.41</v>
      </c>
      <c r="Y26" s="38" t="n">
        <v>74527.31</v>
      </c>
      <c r="Z26" s="38" t="n">
        <v>85415.19</v>
      </c>
      <c r="AA26" s="38" t="n">
        <v>118365.36</v>
      </c>
      <c r="AB26" s="38" t="n">
        <v>57043.82</v>
      </c>
      <c r="AC26" s="38" t="n">
        <v>1354549</v>
      </c>
      <c r="AD26" s="38" t="n"/>
      <c r="AE26" s="38" t="n">
        <v>39043.2</v>
      </c>
      <c r="AF26" s="38" t="n">
        <v>95534.97</v>
      </c>
      <c r="AG26" s="38" t="n">
        <v>80642.92999999999</v>
      </c>
      <c r="AH26" s="38" t="n">
        <v>81181.49000000001</v>
      </c>
      <c r="AI26" s="38" t="n">
        <v>90025.84</v>
      </c>
      <c r="AJ26" s="38" t="n">
        <v>76889.61</v>
      </c>
      <c r="AK26" s="38" t="n">
        <v>52921.45</v>
      </c>
    </row>
    <row r="27">
      <c r="A27" t="inlineStr">
        <is>
          <t>Revenue Deducts - Gas</t>
        </is>
      </c>
      <c r="C27" s="38" t="n">
        <v>37241.28</v>
      </c>
      <c r="D27" s="38" t="n">
        <v>96194.72</v>
      </c>
      <c r="E27" s="38" t="n">
        <v>131065.05</v>
      </c>
      <c r="F27" s="38" t="n">
        <v>189104.65</v>
      </c>
      <c r="G27" s="38" t="n">
        <v>90607.8</v>
      </c>
      <c r="H27" s="38" t="n">
        <v>421786.57</v>
      </c>
      <c r="I27" s="38" t="n">
        <v>252790.36</v>
      </c>
      <c r="J27" s="38" t="n">
        <v>165817.02</v>
      </c>
      <c r="K27" s="38" t="n">
        <v>150038.5</v>
      </c>
      <c r="L27" s="38" t="n">
        <v>312034.38</v>
      </c>
      <c r="M27" s="38" t="n">
        <v>216090.67</v>
      </c>
      <c r="N27" s="38" t="n">
        <v>151715.98</v>
      </c>
      <c r="O27" s="38" t="n">
        <v>2214486.98</v>
      </c>
      <c r="P27" s="38" t="n"/>
      <c r="Q27" s="38" t="n">
        <v>164855.58</v>
      </c>
      <c r="R27" s="38" t="n">
        <v>214123.25</v>
      </c>
      <c r="S27" s="38" t="n">
        <v>254465.94</v>
      </c>
      <c r="T27" s="38" t="n">
        <v>140551.22</v>
      </c>
      <c r="U27" s="38" t="n">
        <v>92863.78999999999</v>
      </c>
      <c r="V27" s="38" t="n">
        <v>181962.09</v>
      </c>
      <c r="W27" s="38" t="n">
        <v>222240.03</v>
      </c>
      <c r="X27" s="38" t="n">
        <v>88799.24000000001</v>
      </c>
      <c r="Y27" s="38" t="n">
        <v>73367.03</v>
      </c>
      <c r="Z27" s="38" t="n">
        <v>163968.58</v>
      </c>
      <c r="AA27" s="38" t="n">
        <v>60330.03</v>
      </c>
      <c r="AB27" s="38" t="n">
        <v>54297.91</v>
      </c>
      <c r="AC27" s="38" t="n">
        <v>1711824.68</v>
      </c>
      <c r="AD27" s="38" t="n"/>
      <c r="AE27" s="38" t="n">
        <v>45178.83</v>
      </c>
      <c r="AF27" s="38" t="n">
        <v>73410.60000000001</v>
      </c>
      <c r="AG27" s="38" t="n">
        <v>83197.47</v>
      </c>
      <c r="AH27" s="38" t="n">
        <v>44029.01</v>
      </c>
      <c r="AI27" s="38" t="n">
        <v>123954.79</v>
      </c>
      <c r="AJ27" s="38" t="n">
        <v>70302.21000000001</v>
      </c>
      <c r="AK27" s="38" t="n">
        <v>97388.50999999999</v>
      </c>
    </row>
    <row r="28">
      <c r="A28" t="inlineStr">
        <is>
          <t>Revenue Deducts - Liquids</t>
        </is>
      </c>
      <c r="C28" s="38" t="n">
        <v>16423.94</v>
      </c>
      <c r="D28" s="38" t="n">
        <v>18260.77</v>
      </c>
      <c r="E28" s="38" t="n">
        <v>40787.07</v>
      </c>
      <c r="F28" s="38" t="n">
        <v>42954.7</v>
      </c>
      <c r="G28" s="38" t="n">
        <v>50891.5</v>
      </c>
      <c r="H28" s="38" t="n">
        <v>72624.58</v>
      </c>
      <c r="I28" s="38" t="n">
        <v>83375.77</v>
      </c>
      <c r="J28" s="38" t="n">
        <v>40765.94</v>
      </c>
      <c r="K28" s="38" t="n">
        <v>25562.14</v>
      </c>
      <c r="L28" s="38" t="n">
        <v>52316.7</v>
      </c>
      <c r="M28" s="38" t="n">
        <v>49653.26</v>
      </c>
      <c r="N28" s="38" t="n">
        <v>29251.72</v>
      </c>
      <c r="O28" s="38" t="n">
        <v>522868.09</v>
      </c>
      <c r="P28" s="38" t="n"/>
      <c r="Q28" s="38" t="n">
        <v>69780.00999999999</v>
      </c>
      <c r="R28" s="38" t="n">
        <v>63099.74</v>
      </c>
      <c r="S28" s="38" t="n">
        <v>28346.77</v>
      </c>
      <c r="T28" s="38" t="n">
        <v>44998.73</v>
      </c>
      <c r="U28" s="38" t="n">
        <v>40536.95</v>
      </c>
      <c r="V28" s="38" t="n">
        <v>48258.95</v>
      </c>
      <c r="W28" s="38" t="n">
        <v>34718.34</v>
      </c>
      <c r="X28" s="38" t="n">
        <v>36939.68</v>
      </c>
      <c r="Y28" s="38" t="n">
        <v>29131.58</v>
      </c>
      <c r="Z28" s="38" t="n">
        <v>36304.34</v>
      </c>
      <c r="AA28" s="38" t="n">
        <v>40183.76</v>
      </c>
      <c r="AB28" s="38" t="n">
        <v>20423.25</v>
      </c>
      <c r="AC28" s="38" t="n">
        <v>492722.1</v>
      </c>
      <c r="AD28" s="38" t="n"/>
      <c r="AE28" s="38" t="n">
        <v>32553.99</v>
      </c>
      <c r="AF28" s="38" t="n">
        <v>17492.91</v>
      </c>
      <c r="AG28" s="38" t="n">
        <v>29503.72</v>
      </c>
      <c r="AH28" s="38" t="n">
        <v>24315.86</v>
      </c>
      <c r="AI28" s="38" t="n">
        <v>17067.38</v>
      </c>
      <c r="AJ28" s="38" t="n">
        <v>16570.15</v>
      </c>
      <c r="AK28" s="38" t="n">
        <v>18249.68</v>
      </c>
    </row>
    <row r="29">
      <c r="A29" t="inlineStr">
        <is>
          <t>Total Deductions</t>
        </is>
      </c>
      <c r="C29" s="38" t="n">
        <v>119517.87</v>
      </c>
      <c r="D29" s="38" t="n">
        <v>154812.61</v>
      </c>
      <c r="E29" s="38" t="n">
        <v>288714.06</v>
      </c>
      <c r="F29" s="38" t="n">
        <v>338556.73</v>
      </c>
      <c r="G29" s="38" t="n">
        <v>329026</v>
      </c>
      <c r="H29" s="38" t="n">
        <v>638724.9</v>
      </c>
      <c r="I29" s="38" t="n">
        <v>455234.31</v>
      </c>
      <c r="J29" s="38" t="n">
        <v>383324.75</v>
      </c>
      <c r="K29" s="38" t="n">
        <v>345469.48</v>
      </c>
      <c r="L29" s="38" t="n">
        <v>532844.48</v>
      </c>
      <c r="M29" s="38" t="n">
        <v>472070.99</v>
      </c>
      <c r="N29" s="38" t="n">
        <v>294921.43</v>
      </c>
      <c r="O29" s="38" t="n">
        <v>4353217.62</v>
      </c>
      <c r="P29" s="38" t="n"/>
      <c r="Q29" s="38" t="n">
        <v>355505.84</v>
      </c>
      <c r="R29" s="38" t="n">
        <v>421919.67</v>
      </c>
      <c r="S29" s="38" t="n">
        <v>435399.11</v>
      </c>
      <c r="T29" s="38" t="n">
        <v>328954.46</v>
      </c>
      <c r="U29" s="38" t="n">
        <v>283989.92</v>
      </c>
      <c r="V29" s="38" t="n">
        <v>351151.1</v>
      </c>
      <c r="W29" s="38" t="n">
        <v>304183.2</v>
      </c>
      <c r="X29" s="38" t="n">
        <v>264634.33</v>
      </c>
      <c r="Y29" s="38" t="n">
        <v>177025.92</v>
      </c>
      <c r="Z29" s="38" t="n">
        <v>285688.11</v>
      </c>
      <c r="AA29" s="38" t="n">
        <v>218879.14</v>
      </c>
      <c r="AB29" s="38" t="n">
        <v>131764.99</v>
      </c>
      <c r="AC29" s="38" t="n">
        <v>3559095.78</v>
      </c>
      <c r="AD29" s="38" t="n"/>
      <c r="AE29" s="38" t="n">
        <v>116776.02</v>
      </c>
      <c r="AF29" s="38" t="n">
        <v>186438.48</v>
      </c>
      <c r="AG29" s="38" t="n">
        <v>193344.11</v>
      </c>
      <c r="AH29" s="38" t="n">
        <v>149526.36</v>
      </c>
      <c r="AI29" s="38" t="n">
        <v>231048.01</v>
      </c>
      <c r="AJ29" s="38" t="n">
        <v>163761.97</v>
      </c>
      <c r="AK29" s="38" t="n">
        <v>168559.63</v>
      </c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</row>
    <row r="31">
      <c r="A31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</row>
    <row r="32">
      <c r="A32" t="inlineStr">
        <is>
          <t>5401 - LOE - CHARTS, METERS &amp; AUTOM</t>
        </is>
      </c>
      <c r="C32" s="38" t="n">
        <v>34335.08</v>
      </c>
      <c r="D32" s="38" t="n">
        <v>54427.05</v>
      </c>
      <c r="E32" s="38" t="n">
        <v>139236.92</v>
      </c>
      <c r="F32" s="38" t="n">
        <v>142394.18</v>
      </c>
      <c r="G32" s="38" t="n">
        <v>100583.58</v>
      </c>
      <c r="H32" s="38" t="n">
        <v>199903.71</v>
      </c>
      <c r="I32" s="38" t="n">
        <v>108578.08</v>
      </c>
      <c r="J32" s="38" t="n">
        <v>124574.33</v>
      </c>
      <c r="K32" s="38" t="n">
        <v>124190.9</v>
      </c>
      <c r="L32" s="38" t="n">
        <v>115921.44</v>
      </c>
      <c r="M32" s="38" t="n">
        <v>92736.66</v>
      </c>
      <c r="N32" s="38" t="n">
        <v>108643.62</v>
      </c>
      <c r="O32" s="38" t="n">
        <v>1345525.56</v>
      </c>
      <c r="P32" s="38" t="n"/>
      <c r="Q32" s="38" t="n">
        <v>126536.35</v>
      </c>
      <c r="R32" s="38" t="n">
        <v>126642.29</v>
      </c>
      <c r="S32" s="38" t="n">
        <v>104711.23</v>
      </c>
      <c r="T32" s="38" t="n">
        <v>102106.13</v>
      </c>
      <c r="U32" s="38" t="n">
        <v>55994.22</v>
      </c>
      <c r="V32" s="38" t="n">
        <v>101479.02</v>
      </c>
      <c r="W32" s="38" t="n">
        <v>74001.22</v>
      </c>
      <c r="X32" s="38" t="n">
        <v>96906.66</v>
      </c>
      <c r="Y32" s="38" t="n">
        <v>97102.36</v>
      </c>
      <c r="Z32" s="38" t="n">
        <v>83016.42</v>
      </c>
      <c r="AA32" s="38" t="n">
        <v>110534.58</v>
      </c>
      <c r="AB32" s="38" t="n">
        <v>72389.44</v>
      </c>
      <c r="AC32" s="38" t="n">
        <v>1151419.92</v>
      </c>
      <c r="AD32" s="38" t="n"/>
      <c r="AE32" s="38" t="n">
        <v>44037.9</v>
      </c>
      <c r="AF32" s="38" t="n">
        <v>63130.46</v>
      </c>
      <c r="AG32" s="38" t="n">
        <v>68720.61</v>
      </c>
      <c r="AH32" s="38" t="n">
        <v>70152.75999999999</v>
      </c>
      <c r="AI32" s="38" t="n">
        <v>68944.24000000001</v>
      </c>
      <c r="AJ32" s="38" t="n">
        <v>40296.47</v>
      </c>
      <c r="AK32" s="38" t="n">
        <v>40877.67</v>
      </c>
    </row>
    <row r="33">
      <c r="A33" t="inlineStr">
        <is>
          <t>5402 - LOE - CHEMICALS &amp; TREATING</t>
        </is>
      </c>
      <c r="C33" s="38" t="n">
        <v>12285.75</v>
      </c>
      <c r="D33" s="38" t="n">
        <v>23406.64</v>
      </c>
      <c r="E33" s="38" t="n">
        <v>29118.18</v>
      </c>
      <c r="F33" s="38" t="n">
        <v>47063.5</v>
      </c>
      <c r="G33" s="38" t="n">
        <v>56463.78</v>
      </c>
      <c r="H33" s="38" t="n">
        <v>66720.88</v>
      </c>
      <c r="I33" s="38" t="n">
        <v>58813.5</v>
      </c>
      <c r="J33" s="38" t="n">
        <v>55166.19</v>
      </c>
      <c r="K33" s="38" t="n">
        <v>32270.94</v>
      </c>
      <c r="L33" s="38" t="n">
        <v>28427.74</v>
      </c>
      <c r="M33" s="38" t="n">
        <v>40820.91</v>
      </c>
      <c r="N33" s="38" t="n">
        <v>20296.94</v>
      </c>
      <c r="O33" s="38" t="n">
        <v>470854.96</v>
      </c>
      <c r="P33" s="38" t="n"/>
      <c r="Q33" s="38" t="n">
        <v>30220.43</v>
      </c>
      <c r="R33" s="38" t="n">
        <v>51932.66</v>
      </c>
      <c r="S33" s="38" t="n">
        <v>31754.94</v>
      </c>
      <c r="T33" s="38" t="n">
        <v>30160.28</v>
      </c>
      <c r="U33" s="38" t="n">
        <v>19229.94</v>
      </c>
      <c r="V33" s="38" t="n">
        <v>43520.25</v>
      </c>
      <c r="W33" s="38" t="n">
        <v>22450.84</v>
      </c>
      <c r="X33" s="38" t="n">
        <v>21543.49</v>
      </c>
      <c r="Y33" s="38" t="n">
        <v>18381.55</v>
      </c>
      <c r="Z33" s="38" t="n">
        <v>27276.6</v>
      </c>
      <c r="AA33" s="38" t="n">
        <v>35910.13</v>
      </c>
      <c r="AB33" s="38" t="n">
        <v>20410.39</v>
      </c>
      <c r="AC33" s="38" t="n">
        <v>352791.5</v>
      </c>
      <c r="AD33" s="38" t="n"/>
      <c r="AE33" s="38" t="n">
        <v>22790.88</v>
      </c>
      <c r="AF33" s="38" t="n">
        <v>17736.48</v>
      </c>
      <c r="AG33" s="38" t="n">
        <v>23580.89</v>
      </c>
      <c r="AH33" s="38" t="n">
        <v>20832.24</v>
      </c>
      <c r="AI33" s="38" t="n">
        <v>21966.76</v>
      </c>
      <c r="AJ33" s="38" t="n">
        <v>14175.96</v>
      </c>
      <c r="AK33" s="38" t="n">
        <v>9988.51</v>
      </c>
    </row>
    <row r="34">
      <c r="A34" t="inlineStr">
        <is>
          <t>5403 - LOE - COMPANY VEHICLE</t>
        </is>
      </c>
      <c r="C34" s="38" t="n">
        <v>9571.440000000001</v>
      </c>
      <c r="D34" s="38" t="n">
        <v>13656.36</v>
      </c>
      <c r="E34" s="38" t="n">
        <v>22370.42</v>
      </c>
      <c r="F34" s="38" t="n">
        <v>24820.6</v>
      </c>
      <c r="G34" s="38" t="n">
        <v>27898.35</v>
      </c>
      <c r="H34" s="38" t="n">
        <v>38467.23</v>
      </c>
      <c r="I34" s="38" t="n">
        <v>31161.5</v>
      </c>
      <c r="J34" s="38" t="n">
        <v>27579</v>
      </c>
      <c r="K34" s="38" t="n">
        <v>27843.28</v>
      </c>
      <c r="L34" s="38" t="n">
        <v>23671.23</v>
      </c>
      <c r="M34" s="38" t="n">
        <v>27297.54</v>
      </c>
      <c r="N34" s="38" t="n">
        <v>22403.19</v>
      </c>
      <c r="O34" s="38" t="n">
        <v>296740.16</v>
      </c>
      <c r="P34" s="38" t="n"/>
      <c r="Q34" s="38" t="n">
        <v>30145.22</v>
      </c>
      <c r="R34" s="38" t="n">
        <v>28414.37</v>
      </c>
      <c r="S34" s="38" t="n">
        <v>22956.95</v>
      </c>
      <c r="T34" s="38" t="n">
        <v>14809.36</v>
      </c>
      <c r="U34" s="38" t="n">
        <v>19149.71</v>
      </c>
      <c r="V34" s="38" t="n">
        <v>19699.82</v>
      </c>
      <c r="W34" s="38" t="n">
        <v>22095.58</v>
      </c>
      <c r="X34" s="38" t="n">
        <v>12982.73</v>
      </c>
      <c r="Y34" s="38" t="n">
        <v>19405.84</v>
      </c>
      <c r="Z34" s="38" t="n">
        <v>19325.87</v>
      </c>
      <c r="AA34" s="38" t="n">
        <v>15920.51</v>
      </c>
      <c r="AB34" s="38" t="n">
        <v>13294.86</v>
      </c>
      <c r="AC34" s="38" t="n">
        <v>238200.82</v>
      </c>
      <c r="AD34" s="38" t="n"/>
      <c r="AE34" s="38" t="n">
        <v>11136.5</v>
      </c>
      <c r="AF34" s="38" t="n">
        <v>11797.36</v>
      </c>
      <c r="AG34" s="38" t="n">
        <v>16357.49</v>
      </c>
      <c r="AH34" s="38" t="n">
        <v>15001.99</v>
      </c>
      <c r="AI34" s="38" t="n">
        <v>8626.629999999999</v>
      </c>
      <c r="AJ34" s="38" t="n">
        <v>8690.24</v>
      </c>
      <c r="AK34" s="38" t="n">
        <v>9278.940000000001</v>
      </c>
    </row>
    <row r="35">
      <c r="A35" t="inlineStr">
        <is>
          <t>5404 - LOE - COMPRESSION</t>
        </is>
      </c>
      <c r="C35" s="38" t="n">
        <v>43089.38</v>
      </c>
      <c r="D35" s="38" t="n">
        <v>41000.89</v>
      </c>
      <c r="E35" s="38" t="n">
        <v>131131.99</v>
      </c>
      <c r="F35" s="38" t="n">
        <v>139081.55</v>
      </c>
      <c r="G35" s="38" t="n">
        <v>106936.41</v>
      </c>
      <c r="H35" s="38" t="n">
        <v>110423.71</v>
      </c>
      <c r="I35" s="38" t="n">
        <v>97925.96000000001</v>
      </c>
      <c r="J35" s="38" t="n">
        <v>163108.55</v>
      </c>
      <c r="K35" s="38" t="n">
        <v>73794.14</v>
      </c>
      <c r="L35" s="38" t="n">
        <v>137584.93</v>
      </c>
      <c r="M35" s="38" t="n">
        <v>131606.9</v>
      </c>
      <c r="N35" s="38" t="n">
        <v>62136.66</v>
      </c>
      <c r="O35" s="38" t="n">
        <v>1237821.06</v>
      </c>
      <c r="P35" s="38" t="n"/>
      <c r="Q35" s="38" t="n">
        <v>125135.23</v>
      </c>
      <c r="R35" s="38" t="n">
        <v>92279.44</v>
      </c>
      <c r="S35" s="38" t="n">
        <v>98617.34</v>
      </c>
      <c r="T35" s="38" t="n">
        <v>100468.91</v>
      </c>
      <c r="U35" s="38" t="n">
        <v>76507.41</v>
      </c>
      <c r="V35" s="38" t="n">
        <v>76483.17999999999</v>
      </c>
      <c r="W35" s="38" t="n">
        <v>77317.03</v>
      </c>
      <c r="X35" s="38" t="n">
        <v>69114.7</v>
      </c>
      <c r="Y35" s="38" t="n">
        <v>84650.72</v>
      </c>
      <c r="Z35" s="38" t="n">
        <v>83837.85000000001</v>
      </c>
      <c r="AA35" s="38" t="n">
        <v>93160.45</v>
      </c>
      <c r="AB35" s="38" t="n">
        <v>51442.41</v>
      </c>
      <c r="AC35" s="38" t="n">
        <v>1029014.68</v>
      </c>
      <c r="AD35" s="38" t="n"/>
      <c r="AE35" s="38" t="n">
        <v>60150.51</v>
      </c>
      <c r="AF35" s="38" t="n">
        <v>63677.12</v>
      </c>
      <c r="AG35" s="38" t="n">
        <v>62704.89</v>
      </c>
      <c r="AH35" s="38" t="n">
        <v>52246.57</v>
      </c>
      <c r="AI35" s="38" t="n">
        <v>39369.01</v>
      </c>
      <c r="AJ35" s="38" t="n">
        <v>50625.38</v>
      </c>
      <c r="AK35" s="38" t="n">
        <v>46940.66</v>
      </c>
    </row>
    <row r="36">
      <c r="A36" t="inlineStr">
        <is>
          <t>5405 - LOE - CONTRACT LABOR</t>
        </is>
      </c>
      <c r="C36" s="38" t="n">
        <v>41168.49</v>
      </c>
      <c r="D36" s="38" t="n">
        <v>61080.5</v>
      </c>
      <c r="E36" s="38" t="n">
        <v>122903.88</v>
      </c>
      <c r="F36" s="38" t="n">
        <v>191557.44</v>
      </c>
      <c r="G36" s="38" t="n">
        <v>157394.69</v>
      </c>
      <c r="H36" s="38" t="n">
        <v>221976.23</v>
      </c>
      <c r="I36" s="38" t="n">
        <v>169819.49</v>
      </c>
      <c r="J36" s="38" t="n">
        <v>169053.8</v>
      </c>
      <c r="K36" s="38" t="n">
        <v>104574.54</v>
      </c>
      <c r="L36" s="38" t="n">
        <v>98773.92</v>
      </c>
      <c r="M36" s="38" t="n">
        <v>89241.94</v>
      </c>
      <c r="N36" s="38" t="n">
        <v>110201.16</v>
      </c>
      <c r="O36" s="38" t="n">
        <v>1537746.09</v>
      </c>
      <c r="P36" s="38" t="n"/>
      <c r="Q36" s="38" t="n">
        <v>121175.74</v>
      </c>
      <c r="R36" s="38" t="n">
        <v>174870.25</v>
      </c>
      <c r="S36" s="38" t="n">
        <v>121106.66</v>
      </c>
      <c r="T36" s="38" t="n">
        <v>118385.53</v>
      </c>
      <c r="U36" s="38" t="n">
        <v>91932.44</v>
      </c>
      <c r="V36" s="38" t="n">
        <v>138239.22</v>
      </c>
      <c r="W36" s="38" t="n">
        <v>77137.28</v>
      </c>
      <c r="X36" s="38" t="n">
        <v>79564.03</v>
      </c>
      <c r="Y36" s="38" t="n">
        <v>71694.99000000001</v>
      </c>
      <c r="Z36" s="38" t="n">
        <v>64763.91</v>
      </c>
      <c r="AA36" s="38" t="n">
        <v>113043.35</v>
      </c>
      <c r="AB36" s="38" t="n">
        <v>45194.02</v>
      </c>
      <c r="AC36" s="38" t="n">
        <v>1217107.42</v>
      </c>
      <c r="AD36" s="38" t="n"/>
      <c r="AE36" s="38" t="n">
        <v>78239.96000000001</v>
      </c>
      <c r="AF36" s="38" t="n">
        <v>61607.91</v>
      </c>
      <c r="AG36" s="38" t="n">
        <v>82260.10000000001</v>
      </c>
      <c r="AH36" s="38" t="n">
        <v>41049.97</v>
      </c>
      <c r="AI36" s="38" t="n">
        <v>70552.06</v>
      </c>
      <c r="AJ36" s="38" t="n">
        <v>51825.98</v>
      </c>
      <c r="AK36" s="38" t="n">
        <v>49595.06</v>
      </c>
    </row>
    <row r="37">
      <c r="A37" t="inlineStr">
        <is>
          <t>5406 - LOE - DELAY RENTAL</t>
        </is>
      </c>
      <c r="C37" s="38" t="n">
        <v>6377.64</v>
      </c>
      <c r="D37" s="38" t="n">
        <v>13081.45</v>
      </c>
      <c r="E37" s="38" t="n">
        <v>21795.15</v>
      </c>
      <c r="F37" s="38" t="n">
        <v>26768.32</v>
      </c>
      <c r="G37" s="38" t="n">
        <v>35215.91</v>
      </c>
      <c r="H37" s="38" t="n">
        <v>39696.27</v>
      </c>
      <c r="I37" s="38" t="n">
        <v>26454.19</v>
      </c>
      <c r="J37" s="38" t="n">
        <v>33255.13</v>
      </c>
      <c r="K37" s="38" t="n">
        <v>14636.69</v>
      </c>
      <c r="L37" s="38" t="n">
        <v>17385.05</v>
      </c>
      <c r="M37" s="38" t="n">
        <v>27148.67</v>
      </c>
      <c r="N37" s="38" t="n">
        <v>20090.73</v>
      </c>
      <c r="O37" s="38" t="n">
        <v>281905.21</v>
      </c>
      <c r="P37" s="38" t="n"/>
      <c r="Q37" s="38" t="n">
        <v>31859.56</v>
      </c>
      <c r="R37" s="38" t="n">
        <v>28458.56</v>
      </c>
      <c r="S37" s="38" t="n">
        <v>22354.21</v>
      </c>
      <c r="T37" s="38" t="n">
        <v>22289.17</v>
      </c>
      <c r="U37" s="38" t="n">
        <v>13320.33</v>
      </c>
      <c r="V37" s="38" t="n">
        <v>16199.93</v>
      </c>
      <c r="W37" s="38" t="n">
        <v>17221.92</v>
      </c>
      <c r="X37" s="38" t="n">
        <v>15009.6</v>
      </c>
      <c r="Y37" s="38" t="n">
        <v>18811.2</v>
      </c>
      <c r="Z37" s="38" t="n">
        <v>17100.1</v>
      </c>
      <c r="AA37" s="38" t="n">
        <v>16784.53</v>
      </c>
      <c r="AB37" s="38" t="n">
        <v>8409.65</v>
      </c>
      <c r="AC37" s="38" t="n">
        <v>227818.75</v>
      </c>
      <c r="AD37" s="38" t="n"/>
      <c r="AE37" s="38" t="n">
        <v>12306.85</v>
      </c>
      <c r="AF37" s="38" t="n">
        <v>10172.41</v>
      </c>
      <c r="AG37" s="38" t="n">
        <v>14249.09</v>
      </c>
      <c r="AH37" s="38" t="n">
        <v>13180.67</v>
      </c>
      <c r="AI37" s="38" t="n">
        <v>13320</v>
      </c>
      <c r="AJ37" s="38" t="n">
        <v>7081.65</v>
      </c>
      <c r="AK37" s="38" t="n">
        <v>8557.15</v>
      </c>
    </row>
    <row r="38">
      <c r="A38" t="inlineStr">
        <is>
          <t>5407 - LOE - ELEC LABOR, SVCS, &amp; MATL</t>
        </is>
      </c>
      <c r="C38" s="38" t="n">
        <v>46092.75</v>
      </c>
      <c r="D38" s="38" t="n">
        <v>66279.72</v>
      </c>
      <c r="E38" s="38" t="n">
        <v>155396.33</v>
      </c>
      <c r="F38" s="38" t="n">
        <v>138913.16</v>
      </c>
      <c r="G38" s="38" t="n">
        <v>135287.37</v>
      </c>
      <c r="H38" s="38" t="n">
        <v>187096.53</v>
      </c>
      <c r="I38" s="38" t="n">
        <v>165049.47</v>
      </c>
      <c r="J38" s="38" t="n">
        <v>158493.68</v>
      </c>
      <c r="K38" s="38" t="n">
        <v>85428.38</v>
      </c>
      <c r="L38" s="38" t="n">
        <v>155763.95</v>
      </c>
      <c r="M38" s="38" t="n">
        <v>160767.32</v>
      </c>
      <c r="N38" s="38" t="n">
        <v>115811</v>
      </c>
      <c r="O38" s="38" t="n">
        <v>1570379.64</v>
      </c>
      <c r="P38" s="38" t="n"/>
      <c r="Q38" s="38" t="n">
        <v>155758.6</v>
      </c>
      <c r="R38" s="38" t="n">
        <v>187078.38</v>
      </c>
      <c r="S38" s="38" t="n">
        <v>147508.68</v>
      </c>
      <c r="T38" s="38" t="n">
        <v>81135.71000000001</v>
      </c>
      <c r="U38" s="38" t="n">
        <v>63709.42</v>
      </c>
      <c r="V38" s="38" t="n">
        <v>112173.84</v>
      </c>
      <c r="W38" s="38" t="n">
        <v>94268.35000000001</v>
      </c>
      <c r="X38" s="38" t="n">
        <v>81879.42999999999</v>
      </c>
      <c r="Y38" s="38" t="n">
        <v>87957.77</v>
      </c>
      <c r="Z38" s="38" t="n">
        <v>76540.95</v>
      </c>
      <c r="AA38" s="38" t="n">
        <v>107955.24</v>
      </c>
      <c r="AB38" s="38" t="n">
        <v>68663.22</v>
      </c>
      <c r="AC38" s="38" t="n">
        <v>1264629.6</v>
      </c>
      <c r="AD38" s="38" t="n"/>
      <c r="AE38" s="38" t="n">
        <v>67570.86</v>
      </c>
      <c r="AF38" s="38" t="n">
        <v>53186.07</v>
      </c>
      <c r="AG38" s="38" t="n">
        <v>83789.06</v>
      </c>
      <c r="AH38" s="38" t="n">
        <v>48756.88</v>
      </c>
      <c r="AI38" s="38" t="n">
        <v>55835.57</v>
      </c>
      <c r="AJ38" s="38" t="n">
        <v>64409.94</v>
      </c>
      <c r="AK38" s="38" t="n">
        <v>36160.09</v>
      </c>
    </row>
    <row r="39">
      <c r="A39" t="inlineStr">
        <is>
          <t>5408 - LOE - EQUIPMENT RENTAL</t>
        </is>
      </c>
      <c r="C39" s="38" t="n">
        <v>79140.98</v>
      </c>
      <c r="D39" s="38" t="n">
        <v>100600.65</v>
      </c>
      <c r="E39" s="38" t="n">
        <v>178929.02</v>
      </c>
      <c r="F39" s="38" t="n">
        <v>292542.01</v>
      </c>
      <c r="G39" s="38" t="n">
        <v>198213.31</v>
      </c>
      <c r="H39" s="38" t="n">
        <v>204603.21</v>
      </c>
      <c r="I39" s="38" t="n">
        <v>271649.37</v>
      </c>
      <c r="J39" s="38" t="n">
        <v>205830.86</v>
      </c>
      <c r="K39" s="38" t="n">
        <v>196907.78</v>
      </c>
      <c r="L39" s="38" t="n">
        <v>201586.63</v>
      </c>
      <c r="M39" s="38" t="n">
        <v>187486.37</v>
      </c>
      <c r="N39" s="38" t="n">
        <v>166200.86</v>
      </c>
      <c r="O39" s="38" t="n">
        <v>2283691.06</v>
      </c>
      <c r="P39" s="38" t="n"/>
      <c r="Q39" s="38" t="n">
        <v>260443.5</v>
      </c>
      <c r="R39" s="38" t="n">
        <v>249754.21</v>
      </c>
      <c r="S39" s="38" t="n">
        <v>213937.72</v>
      </c>
      <c r="T39" s="38" t="n">
        <v>143592.67</v>
      </c>
      <c r="U39" s="38" t="n">
        <v>131400.16</v>
      </c>
      <c r="V39" s="38" t="n">
        <v>155818.25</v>
      </c>
      <c r="W39" s="38" t="n">
        <v>122960.59</v>
      </c>
      <c r="X39" s="38" t="n">
        <v>91559.08</v>
      </c>
      <c r="Y39" s="38" t="n">
        <v>103728.63</v>
      </c>
      <c r="Z39" s="38" t="n">
        <v>110708.48</v>
      </c>
      <c r="AA39" s="38" t="n">
        <v>181677.39</v>
      </c>
      <c r="AB39" s="38" t="n">
        <v>82571.69</v>
      </c>
      <c r="AC39" s="38" t="n">
        <v>1848152.36</v>
      </c>
      <c r="AD39" s="38" t="n"/>
      <c r="AE39" s="38" t="n">
        <v>107975.09</v>
      </c>
      <c r="AF39" s="38" t="n">
        <v>107725.74</v>
      </c>
      <c r="AG39" s="38" t="n">
        <v>122332.46</v>
      </c>
      <c r="AH39" s="38" t="n">
        <v>64843.53</v>
      </c>
      <c r="AI39" s="38" t="n">
        <v>104006.68</v>
      </c>
      <c r="AJ39" s="38" t="n">
        <v>72501.24000000001</v>
      </c>
      <c r="AK39" s="38" t="n">
        <v>85527.52</v>
      </c>
    </row>
    <row r="40">
      <c r="A40" t="inlineStr">
        <is>
          <t>5409 - LOE - FOREMAN/SUPERVISION LAB.</t>
        </is>
      </c>
      <c r="C40" s="38" t="n">
        <v>14378.56</v>
      </c>
      <c r="D40" s="38" t="n">
        <v>25814.9</v>
      </c>
      <c r="E40" s="38" t="n">
        <v>62521.2</v>
      </c>
      <c r="F40" s="38" t="n">
        <v>56759.79</v>
      </c>
      <c r="G40" s="38" t="n">
        <v>52439.63</v>
      </c>
      <c r="H40" s="38" t="n">
        <v>87860.42</v>
      </c>
      <c r="I40" s="38" t="n">
        <v>46256.4</v>
      </c>
      <c r="J40" s="38" t="n">
        <v>51821.41</v>
      </c>
      <c r="K40" s="38" t="n">
        <v>51095.01</v>
      </c>
      <c r="L40" s="38" t="n">
        <v>61819.65</v>
      </c>
      <c r="M40" s="38" t="n">
        <v>52502.86</v>
      </c>
      <c r="N40" s="38" t="n">
        <v>38002.97</v>
      </c>
      <c r="O40" s="38" t="n">
        <v>601272.8</v>
      </c>
      <c r="P40" s="38" t="n"/>
      <c r="Q40" s="38" t="n">
        <v>61019.91</v>
      </c>
      <c r="R40" s="38" t="n">
        <v>61852.25</v>
      </c>
      <c r="S40" s="38" t="n">
        <v>53689.2</v>
      </c>
      <c r="T40" s="38" t="n">
        <v>28732.53</v>
      </c>
      <c r="U40" s="38" t="n">
        <v>26659.93</v>
      </c>
      <c r="V40" s="38" t="n">
        <v>49960.85</v>
      </c>
      <c r="W40" s="38" t="n">
        <v>43247.68</v>
      </c>
      <c r="X40" s="38" t="n">
        <v>33433.06</v>
      </c>
      <c r="Y40" s="38" t="n">
        <v>43429.73</v>
      </c>
      <c r="Z40" s="38" t="n">
        <v>47934.3</v>
      </c>
      <c r="AA40" s="38" t="n">
        <v>36615.2</v>
      </c>
      <c r="AB40" s="38" t="n">
        <v>25427.84</v>
      </c>
      <c r="AC40" s="38" t="n">
        <v>512002.51</v>
      </c>
      <c r="AD40" s="38" t="n"/>
      <c r="AE40" s="38" t="n">
        <v>25100</v>
      </c>
      <c r="AF40" s="38" t="n">
        <v>28373.74</v>
      </c>
      <c r="AG40" s="38" t="n">
        <v>37320.7</v>
      </c>
      <c r="AH40" s="38" t="n">
        <v>22739.01</v>
      </c>
      <c r="AI40" s="38" t="n">
        <v>17463.79</v>
      </c>
      <c r="AJ40" s="38" t="n">
        <v>20975.27</v>
      </c>
      <c r="AK40" s="38" t="n">
        <v>18107.62</v>
      </c>
    </row>
    <row r="41">
      <c r="A41" t="inlineStr">
        <is>
          <t>5410 - LOE - FUEL &amp; POWER</t>
        </is>
      </c>
      <c r="C41" s="38" t="n">
        <v>23890.17</v>
      </c>
      <c r="D41" s="38" t="n">
        <v>34575.16</v>
      </c>
      <c r="E41" s="38" t="n">
        <v>74555.59</v>
      </c>
      <c r="F41" s="38" t="n">
        <v>80636.09</v>
      </c>
      <c r="G41" s="38" t="n">
        <v>85397.27</v>
      </c>
      <c r="H41" s="38" t="n">
        <v>86112.25</v>
      </c>
      <c r="I41" s="38" t="n">
        <v>74479.75</v>
      </c>
      <c r="J41" s="38" t="n">
        <v>103946.21</v>
      </c>
      <c r="K41" s="38" t="n">
        <v>53757.84</v>
      </c>
      <c r="L41" s="38" t="n">
        <v>87327.49000000001</v>
      </c>
      <c r="M41" s="38" t="n">
        <v>57944.61</v>
      </c>
      <c r="N41" s="38" t="n">
        <v>46628.22</v>
      </c>
      <c r="O41" s="38" t="n">
        <v>809250.63</v>
      </c>
      <c r="P41" s="38" t="n"/>
      <c r="Q41" s="38" t="n">
        <v>92347.46000000001</v>
      </c>
      <c r="R41" s="38" t="n">
        <v>110829.57</v>
      </c>
      <c r="S41" s="38" t="n">
        <v>84814.83</v>
      </c>
      <c r="T41" s="38" t="n">
        <v>61733.76</v>
      </c>
      <c r="U41" s="38" t="n">
        <v>56555.16</v>
      </c>
      <c r="V41" s="38" t="n">
        <v>69855.25</v>
      </c>
      <c r="W41" s="38" t="n">
        <v>51779.86</v>
      </c>
      <c r="X41" s="38" t="n">
        <v>49556.14</v>
      </c>
      <c r="Y41" s="38" t="n">
        <v>52142.77</v>
      </c>
      <c r="Z41" s="38" t="n">
        <v>44521.8</v>
      </c>
      <c r="AA41" s="38" t="n">
        <v>45476.18</v>
      </c>
      <c r="AB41" s="38" t="n">
        <v>30599.18</v>
      </c>
      <c r="AC41" s="38" t="n">
        <v>750211.99</v>
      </c>
      <c r="AD41" s="38" t="n"/>
      <c r="AE41" s="38" t="n">
        <v>35141.2</v>
      </c>
      <c r="AF41" s="38" t="n">
        <v>41927.99</v>
      </c>
      <c r="AG41" s="38" t="n">
        <v>44038.28</v>
      </c>
      <c r="AH41" s="38" t="n">
        <v>25629.77</v>
      </c>
      <c r="AI41" s="38" t="n">
        <v>34872.9</v>
      </c>
      <c r="AJ41" s="38" t="n">
        <v>23639.9</v>
      </c>
      <c r="AK41" s="38" t="n">
        <v>23356.74</v>
      </c>
    </row>
    <row r="42">
      <c r="A42" t="inlineStr">
        <is>
          <t>5411 - LOE - HAULING &amp; TRANSPORTATION</t>
        </is>
      </c>
      <c r="C42" s="38" t="n">
        <v>41607.12</v>
      </c>
      <c r="D42" s="38" t="n">
        <v>54021.37</v>
      </c>
      <c r="E42" s="38" t="n">
        <v>172262.18</v>
      </c>
      <c r="F42" s="38" t="n">
        <v>200715.65</v>
      </c>
      <c r="G42" s="38" t="n">
        <v>204496.91</v>
      </c>
      <c r="H42" s="38" t="n">
        <v>240930.3</v>
      </c>
      <c r="I42" s="38" t="n">
        <v>205018.04</v>
      </c>
      <c r="J42" s="38" t="n">
        <v>219153.64</v>
      </c>
      <c r="K42" s="38" t="n">
        <v>120256.8</v>
      </c>
      <c r="L42" s="38" t="n">
        <v>102269.99</v>
      </c>
      <c r="M42" s="38" t="n">
        <v>147266.46</v>
      </c>
      <c r="N42" s="38" t="n">
        <v>91843.05</v>
      </c>
      <c r="O42" s="38" t="n">
        <v>1799841.52</v>
      </c>
      <c r="P42" s="38" t="n"/>
      <c r="Q42" s="38" t="n">
        <v>149936.21</v>
      </c>
      <c r="R42" s="38" t="n">
        <v>151052.83</v>
      </c>
      <c r="S42" s="38" t="n">
        <v>106417.42</v>
      </c>
      <c r="T42" s="38" t="n">
        <v>108504.39</v>
      </c>
      <c r="U42" s="38" t="n">
        <v>72085.75</v>
      </c>
      <c r="V42" s="38" t="n">
        <v>140490.3</v>
      </c>
      <c r="W42" s="38" t="n">
        <v>81986.42</v>
      </c>
      <c r="X42" s="38" t="n">
        <v>85369.12</v>
      </c>
      <c r="Y42" s="38" t="n">
        <v>100813.94</v>
      </c>
      <c r="Z42" s="38" t="n">
        <v>109889.61</v>
      </c>
      <c r="AA42" s="38" t="n">
        <v>86895.69</v>
      </c>
      <c r="AB42" s="38" t="n">
        <v>87211.3</v>
      </c>
      <c r="AC42" s="38" t="n">
        <v>1280652.98</v>
      </c>
      <c r="AD42" s="38" t="n"/>
      <c r="AE42" s="38" t="n">
        <v>73788.45</v>
      </c>
      <c r="AF42" s="38" t="n">
        <v>84540.99000000001</v>
      </c>
      <c r="AG42" s="38" t="n">
        <v>78497.13</v>
      </c>
      <c r="AH42" s="38" t="n">
        <v>46317.61</v>
      </c>
      <c r="AI42" s="38" t="n">
        <v>86101.38</v>
      </c>
      <c r="AJ42" s="38" t="n">
        <v>62636.61</v>
      </c>
      <c r="AK42" s="38" t="n">
        <v>50207.45</v>
      </c>
    </row>
    <row r="43">
      <c r="A43" t="inlineStr">
        <is>
          <t>5412 - LOE - HOT OIL TREATMENT</t>
        </is>
      </c>
      <c r="C43" s="38" t="n">
        <v>43914.25</v>
      </c>
      <c r="D43" s="38" t="n">
        <v>72800.34</v>
      </c>
      <c r="E43" s="38" t="n">
        <v>171173.23</v>
      </c>
      <c r="F43" s="38" t="n">
        <v>176399.97</v>
      </c>
      <c r="G43" s="38" t="n">
        <v>194360</v>
      </c>
      <c r="H43" s="38" t="n">
        <v>156669.45</v>
      </c>
      <c r="I43" s="38" t="n">
        <v>140964.83</v>
      </c>
      <c r="J43" s="38" t="n">
        <v>145562.72</v>
      </c>
      <c r="K43" s="38" t="n">
        <v>109538.6</v>
      </c>
      <c r="L43" s="38" t="n">
        <v>140156.77</v>
      </c>
      <c r="M43" s="38" t="n">
        <v>164950.09</v>
      </c>
      <c r="N43" s="38" t="n">
        <v>129581.53</v>
      </c>
      <c r="O43" s="38" t="n">
        <v>1646071.78</v>
      </c>
      <c r="P43" s="38" t="n"/>
      <c r="Q43" s="38" t="n">
        <v>189542.53</v>
      </c>
      <c r="R43" s="38" t="n">
        <v>187688.13</v>
      </c>
      <c r="S43" s="38" t="n">
        <v>170588.4</v>
      </c>
      <c r="T43" s="38" t="n">
        <v>141882.22</v>
      </c>
      <c r="U43" s="38" t="n">
        <v>96709.86</v>
      </c>
      <c r="V43" s="38" t="n">
        <v>166999.37</v>
      </c>
      <c r="W43" s="38" t="n">
        <v>133421.64</v>
      </c>
      <c r="X43" s="38" t="n">
        <v>125505.48</v>
      </c>
      <c r="Y43" s="38" t="n">
        <v>94876.48</v>
      </c>
      <c r="Z43" s="38" t="n">
        <v>100271.78</v>
      </c>
      <c r="AA43" s="38" t="n">
        <v>95593.83</v>
      </c>
      <c r="AB43" s="38" t="n">
        <v>56383.01</v>
      </c>
      <c r="AC43" s="38" t="n">
        <v>1559462.73</v>
      </c>
      <c r="AD43" s="38" t="n"/>
      <c r="AE43" s="38" t="n">
        <v>77513.06</v>
      </c>
      <c r="AF43" s="38" t="n">
        <v>68730.64</v>
      </c>
      <c r="AG43" s="38" t="n">
        <v>80612.89999999999</v>
      </c>
      <c r="AH43" s="38" t="n">
        <v>73196.52</v>
      </c>
      <c r="AI43" s="38" t="n">
        <v>62404.44</v>
      </c>
      <c r="AJ43" s="38" t="n">
        <v>72434.99000000001</v>
      </c>
      <c r="AK43" s="38" t="n">
        <v>45482.46</v>
      </c>
    </row>
    <row r="44">
      <c r="A44" t="inlineStr">
        <is>
          <t>5413 - LOE - INSURANCE &amp; BONDS</t>
        </is>
      </c>
      <c r="C44" s="38" t="n">
        <v>19720.06</v>
      </c>
      <c r="D44" s="38" t="n">
        <v>25403.55</v>
      </c>
      <c r="E44" s="38" t="n">
        <v>41861.27</v>
      </c>
      <c r="F44" s="38" t="n">
        <v>65459.14</v>
      </c>
      <c r="G44" s="38" t="n">
        <v>65589.03999999999</v>
      </c>
      <c r="H44" s="38" t="n">
        <v>81541.58</v>
      </c>
      <c r="I44" s="38" t="n">
        <v>72396.47</v>
      </c>
      <c r="J44" s="38" t="n">
        <v>52513.71</v>
      </c>
      <c r="K44" s="38" t="n">
        <v>39626.83</v>
      </c>
      <c r="L44" s="38" t="n">
        <v>58372.62</v>
      </c>
      <c r="M44" s="38" t="n">
        <v>39019.43</v>
      </c>
      <c r="N44" s="38" t="n">
        <v>43406.53</v>
      </c>
      <c r="O44" s="38" t="n">
        <v>604910.24</v>
      </c>
      <c r="P44" s="38" t="n"/>
      <c r="Q44" s="38" t="n">
        <v>54291.63</v>
      </c>
      <c r="R44" s="38" t="n">
        <v>67491.28999999999</v>
      </c>
      <c r="S44" s="38" t="n">
        <v>36266.07</v>
      </c>
      <c r="T44" s="38" t="n">
        <v>35687.11</v>
      </c>
      <c r="U44" s="38" t="n">
        <v>30017.96</v>
      </c>
      <c r="V44" s="38" t="n">
        <v>37771.99</v>
      </c>
      <c r="W44" s="38" t="n">
        <v>39202.48</v>
      </c>
      <c r="X44" s="38" t="n">
        <v>40441.45</v>
      </c>
      <c r="Y44" s="38" t="n">
        <v>32637.21</v>
      </c>
      <c r="Z44" s="38" t="n">
        <v>43401.08</v>
      </c>
      <c r="AA44" s="38" t="n">
        <v>42297.45</v>
      </c>
      <c r="AB44" s="38" t="n">
        <v>28143.56</v>
      </c>
      <c r="AC44" s="38" t="n">
        <v>487649.27</v>
      </c>
      <c r="AD44" s="38" t="n"/>
      <c r="AE44" s="38" t="n">
        <v>29413.44</v>
      </c>
      <c r="AF44" s="38" t="n">
        <v>29245.7</v>
      </c>
      <c r="AG44" s="38" t="n">
        <v>25334.31</v>
      </c>
      <c r="AH44" s="38" t="n">
        <v>17913.24</v>
      </c>
      <c r="AI44" s="38" t="n">
        <v>18619.12</v>
      </c>
      <c r="AJ44" s="38" t="n">
        <v>22859.61</v>
      </c>
      <c r="AK44" s="38" t="n">
        <v>18343.8</v>
      </c>
    </row>
    <row r="45">
      <c r="A45" t="inlineStr">
        <is>
          <t>5414 - LOE - LOCATION &amp; ROADS</t>
        </is>
      </c>
      <c r="C45" s="38" t="n">
        <v>42970.7</v>
      </c>
      <c r="D45" s="38" t="n">
        <v>34494.49</v>
      </c>
      <c r="E45" s="38" t="n">
        <v>83741.38</v>
      </c>
      <c r="F45" s="38" t="n">
        <v>99931.24000000001</v>
      </c>
      <c r="G45" s="38" t="n">
        <v>115938.59</v>
      </c>
      <c r="H45" s="38" t="n">
        <v>119262.76</v>
      </c>
      <c r="I45" s="38" t="n">
        <v>100463.96</v>
      </c>
      <c r="J45" s="38" t="n">
        <v>84884.50999999999</v>
      </c>
      <c r="K45" s="38" t="n">
        <v>87275.94</v>
      </c>
      <c r="L45" s="38" t="n">
        <v>104206.9</v>
      </c>
      <c r="M45" s="38" t="n">
        <v>62752.49</v>
      </c>
      <c r="N45" s="38" t="n">
        <v>48302.12</v>
      </c>
      <c r="O45" s="38" t="n">
        <v>984225.09</v>
      </c>
      <c r="P45" s="38" t="n"/>
      <c r="Q45" s="38" t="n">
        <v>74541.38</v>
      </c>
      <c r="R45" s="38" t="n">
        <v>98085.67</v>
      </c>
      <c r="S45" s="38" t="n">
        <v>105152.31</v>
      </c>
      <c r="T45" s="38" t="n">
        <v>69141.12</v>
      </c>
      <c r="U45" s="38" t="n">
        <v>65060.97</v>
      </c>
      <c r="V45" s="38" t="n">
        <v>61261.36</v>
      </c>
      <c r="W45" s="38" t="n">
        <v>60168.19</v>
      </c>
      <c r="X45" s="38" t="n">
        <v>50305.86</v>
      </c>
      <c r="Y45" s="38" t="n">
        <v>47716.71</v>
      </c>
      <c r="Z45" s="38" t="n">
        <v>66400.13</v>
      </c>
      <c r="AA45" s="38" t="n">
        <v>57024.64</v>
      </c>
      <c r="AB45" s="38" t="n">
        <v>33328.48</v>
      </c>
      <c r="AC45" s="38" t="n">
        <v>788186.8</v>
      </c>
      <c r="AD45" s="38" t="n"/>
      <c r="AE45" s="38" t="n">
        <v>45929.17</v>
      </c>
      <c r="AF45" s="38" t="n">
        <v>36807.51</v>
      </c>
      <c r="AG45" s="38" t="n">
        <v>40698.25</v>
      </c>
      <c r="AH45" s="38" t="n">
        <v>54234.62</v>
      </c>
      <c r="AI45" s="38" t="n">
        <v>34860.94</v>
      </c>
      <c r="AJ45" s="38" t="n">
        <v>43873.06</v>
      </c>
      <c r="AK45" s="38" t="n">
        <v>34283.06</v>
      </c>
    </row>
    <row r="46">
      <c r="A46" t="inlineStr">
        <is>
          <t>5415 - LOE - ADMINISTRATIVE OVERHEAD</t>
        </is>
      </c>
      <c r="C46" s="38" t="n">
        <v>66449.7</v>
      </c>
      <c r="D46" s="38" t="n">
        <v>68686</v>
      </c>
      <c r="E46" s="38" t="n">
        <v>134951.7</v>
      </c>
      <c r="F46" s="38" t="n">
        <v>149414.53</v>
      </c>
      <c r="G46" s="38" t="n">
        <v>122611.68</v>
      </c>
      <c r="H46" s="38" t="n">
        <v>159426.03</v>
      </c>
      <c r="I46" s="38" t="n">
        <v>166190.52</v>
      </c>
      <c r="J46" s="38" t="n">
        <v>199923.72</v>
      </c>
      <c r="K46" s="38" t="n">
        <v>149374.73</v>
      </c>
      <c r="L46" s="38" t="n">
        <v>119323.7</v>
      </c>
      <c r="M46" s="38" t="n">
        <v>157267.98</v>
      </c>
      <c r="N46" s="38" t="n">
        <v>112245.33</v>
      </c>
      <c r="O46" s="38" t="n">
        <v>1605865.62</v>
      </c>
      <c r="P46" s="38" t="n"/>
      <c r="Q46" s="38" t="n">
        <v>125931.67</v>
      </c>
      <c r="R46" s="38" t="n">
        <v>218360.61</v>
      </c>
      <c r="S46" s="38" t="n">
        <v>168519.23</v>
      </c>
      <c r="T46" s="38" t="n">
        <v>84910.17</v>
      </c>
      <c r="U46" s="38" t="n">
        <v>83268.57000000001</v>
      </c>
      <c r="V46" s="38" t="n">
        <v>115144.29</v>
      </c>
      <c r="W46" s="38" t="n">
        <v>94585.17</v>
      </c>
      <c r="X46" s="38" t="n">
        <v>101372.63</v>
      </c>
      <c r="Y46" s="38" t="n">
        <v>71706.94</v>
      </c>
      <c r="Z46" s="38" t="n">
        <v>100493.88</v>
      </c>
      <c r="AA46" s="38" t="n">
        <v>131082.22</v>
      </c>
      <c r="AB46" s="38" t="n">
        <v>79383.55</v>
      </c>
      <c r="AC46" s="38" t="n">
        <v>1374758.93</v>
      </c>
      <c r="AD46" s="38" t="n"/>
      <c r="AE46" s="38" t="n">
        <v>86822.60000000001</v>
      </c>
      <c r="AF46" s="38" t="n">
        <v>79941.08</v>
      </c>
      <c r="AG46" s="38" t="n">
        <v>104163.21</v>
      </c>
      <c r="AH46" s="38" t="n">
        <v>56922.15</v>
      </c>
      <c r="AI46" s="38" t="n">
        <v>67992.97</v>
      </c>
      <c r="AJ46" s="38" t="n">
        <v>43976.16</v>
      </c>
      <c r="AK46" s="38" t="n">
        <v>48845.67</v>
      </c>
    </row>
    <row r="47">
      <c r="A47" t="inlineStr">
        <is>
          <t>5416 - LOE - NON-OPERATED WELLS</t>
        </is>
      </c>
      <c r="C47" s="38" t="n">
        <v>9580.690000000001</v>
      </c>
      <c r="D47" s="38" t="n">
        <v>12090.8</v>
      </c>
      <c r="E47" s="38" t="n">
        <v>27978.63</v>
      </c>
      <c r="F47" s="38" t="n">
        <v>34901.99</v>
      </c>
      <c r="G47" s="38" t="n">
        <v>41005.33</v>
      </c>
      <c r="H47" s="38" t="n">
        <v>48641.96</v>
      </c>
      <c r="I47" s="38" t="n">
        <v>25560.44</v>
      </c>
      <c r="J47" s="38" t="n">
        <v>32345.14</v>
      </c>
      <c r="K47" s="38" t="n">
        <v>22410.38</v>
      </c>
      <c r="L47" s="38" t="n">
        <v>30174.16</v>
      </c>
      <c r="M47" s="38" t="n">
        <v>33116.96</v>
      </c>
      <c r="N47" s="38" t="n">
        <v>16680.47</v>
      </c>
      <c r="O47" s="38" t="n">
        <v>334486.96</v>
      </c>
      <c r="P47" s="38" t="n"/>
      <c r="Q47" s="38" t="n">
        <v>26064.12</v>
      </c>
      <c r="R47" s="38" t="n">
        <v>27107.61</v>
      </c>
      <c r="S47" s="38" t="n">
        <v>25043.83</v>
      </c>
      <c r="T47" s="38" t="n">
        <v>23536.31</v>
      </c>
      <c r="U47" s="38" t="n">
        <v>15592.51</v>
      </c>
      <c r="V47" s="38" t="n">
        <v>28535.69</v>
      </c>
      <c r="W47" s="38" t="n">
        <v>24767.74</v>
      </c>
      <c r="X47" s="38" t="n">
        <v>20386.22</v>
      </c>
      <c r="Y47" s="38" t="n">
        <v>15679.3</v>
      </c>
      <c r="Z47" s="38" t="n">
        <v>21785.35</v>
      </c>
      <c r="AA47" s="38" t="n">
        <v>20491.93</v>
      </c>
      <c r="AB47" s="38" t="n">
        <v>10941.32</v>
      </c>
      <c r="AC47" s="38" t="n">
        <v>259931.94</v>
      </c>
      <c r="AD47" s="38" t="n"/>
      <c r="AE47" s="38" t="n">
        <v>16743.72</v>
      </c>
      <c r="AF47" s="38" t="n">
        <v>9449.16</v>
      </c>
      <c r="AG47" s="38" t="n">
        <v>19317.6</v>
      </c>
      <c r="AH47" s="38" t="n">
        <v>16000.92</v>
      </c>
      <c r="AI47" s="38" t="n">
        <v>12807.44</v>
      </c>
      <c r="AJ47" s="38" t="n">
        <v>9626.549999999999</v>
      </c>
      <c r="AK47" s="38" t="n">
        <v>9538.959999999999</v>
      </c>
    </row>
    <row r="48">
      <c r="A48" t="inlineStr">
        <is>
          <t>5417 - LOE - PUMPING / GAUGER LABOR</t>
        </is>
      </c>
      <c r="C48" s="38" t="n">
        <v>11728.44</v>
      </c>
      <c r="D48" s="38" t="n">
        <v>17241.63</v>
      </c>
      <c r="E48" s="38" t="n">
        <v>22422.93</v>
      </c>
      <c r="F48" s="38" t="n">
        <v>32400.5</v>
      </c>
      <c r="G48" s="38" t="n">
        <v>28275.92</v>
      </c>
      <c r="H48" s="38" t="n">
        <v>38758.35</v>
      </c>
      <c r="I48" s="38" t="n">
        <v>27169.66</v>
      </c>
      <c r="J48" s="38" t="n">
        <v>40408.28</v>
      </c>
      <c r="K48" s="38" t="n">
        <v>23419.37</v>
      </c>
      <c r="L48" s="38" t="n">
        <v>29795.07</v>
      </c>
      <c r="M48" s="38" t="n">
        <v>22041.68</v>
      </c>
      <c r="N48" s="38" t="n">
        <v>19999.17</v>
      </c>
      <c r="O48" s="38" t="n">
        <v>313660.98</v>
      </c>
      <c r="P48" s="38" t="n"/>
      <c r="Q48" s="38" t="n">
        <v>19598.97</v>
      </c>
      <c r="R48" s="38" t="n">
        <v>27398.89</v>
      </c>
      <c r="S48" s="38" t="n">
        <v>25011.61</v>
      </c>
      <c r="T48" s="38" t="n">
        <v>17723.22</v>
      </c>
      <c r="U48" s="38" t="n">
        <v>16260.08</v>
      </c>
      <c r="V48" s="38" t="n">
        <v>16591.72</v>
      </c>
      <c r="W48" s="38" t="n">
        <v>16920.26</v>
      </c>
      <c r="X48" s="38" t="n">
        <v>19556.62</v>
      </c>
      <c r="Y48" s="38" t="n">
        <v>16851.81</v>
      </c>
      <c r="Z48" s="38" t="n">
        <v>13969.87</v>
      </c>
      <c r="AA48" s="38" t="n">
        <v>18749.31</v>
      </c>
      <c r="AB48" s="38" t="n">
        <v>10516.24</v>
      </c>
      <c r="AC48" s="38" t="n">
        <v>219148.6</v>
      </c>
      <c r="AD48" s="38" t="n"/>
      <c r="AE48" s="38" t="n">
        <v>15557.12</v>
      </c>
      <c r="AF48" s="38" t="n">
        <v>14662.79</v>
      </c>
      <c r="AG48" s="38" t="n">
        <v>10365.69</v>
      </c>
      <c r="AH48" s="38" t="n">
        <v>8159.37</v>
      </c>
      <c r="AI48" s="38" t="n">
        <v>10372.69</v>
      </c>
      <c r="AJ48" s="38" t="n">
        <v>9043.07</v>
      </c>
      <c r="AK48" s="38" t="n">
        <v>6867.4</v>
      </c>
    </row>
    <row r="49">
      <c r="A49" t="inlineStr">
        <is>
          <t>5418 - LOE - REPAIRS AND REPLACEMENT</t>
        </is>
      </c>
      <c r="C49" s="38" t="n">
        <v>16575.71</v>
      </c>
      <c r="D49" s="38" t="n">
        <v>18299.94</v>
      </c>
      <c r="E49" s="38" t="n">
        <v>44322.46</v>
      </c>
      <c r="F49" s="38" t="n">
        <v>34569.75</v>
      </c>
      <c r="G49" s="38" t="n">
        <v>56014.24</v>
      </c>
      <c r="H49" s="38" t="n">
        <v>59545.84</v>
      </c>
      <c r="I49" s="38" t="n">
        <v>47115.1</v>
      </c>
      <c r="J49" s="38" t="n">
        <v>39594.36</v>
      </c>
      <c r="K49" s="38" t="n">
        <v>40004.82</v>
      </c>
      <c r="L49" s="38" t="n">
        <v>47098.77</v>
      </c>
      <c r="M49" s="38" t="n">
        <v>38148.34</v>
      </c>
      <c r="N49" s="38" t="n">
        <v>33379.49</v>
      </c>
      <c r="O49" s="38" t="n">
        <v>474668.82</v>
      </c>
      <c r="P49" s="38" t="n"/>
      <c r="Q49" s="38" t="n">
        <v>51184.08</v>
      </c>
      <c r="R49" s="38" t="n">
        <v>34504.46</v>
      </c>
      <c r="S49" s="38" t="n">
        <v>24153.73</v>
      </c>
      <c r="T49" s="38" t="n">
        <v>35330.3</v>
      </c>
      <c r="U49" s="38" t="n">
        <v>17533.98</v>
      </c>
      <c r="V49" s="38" t="n">
        <v>33241.16</v>
      </c>
      <c r="W49" s="38" t="n">
        <v>19641.81</v>
      </c>
      <c r="X49" s="38" t="n">
        <v>20427.28</v>
      </c>
      <c r="Y49" s="38" t="n">
        <v>31965.08</v>
      </c>
      <c r="Z49" s="38" t="n">
        <v>28541.47</v>
      </c>
      <c r="AA49" s="38" t="n">
        <v>28130.27</v>
      </c>
      <c r="AB49" s="38" t="n">
        <v>17419.39</v>
      </c>
      <c r="AC49" s="38" t="n">
        <v>342072.98</v>
      </c>
      <c r="AD49" s="38" t="n"/>
      <c r="AE49" s="38" t="n">
        <v>20626.39</v>
      </c>
      <c r="AF49" s="38" t="n">
        <v>22104.51</v>
      </c>
      <c r="AG49" s="38" t="n">
        <v>20787.04</v>
      </c>
      <c r="AH49" s="38" t="n">
        <v>20479.8</v>
      </c>
      <c r="AI49" s="38" t="n">
        <v>18832.29</v>
      </c>
      <c r="AJ49" s="38" t="n">
        <v>14877.97</v>
      </c>
      <c r="AK49" s="38" t="n">
        <v>14114.1</v>
      </c>
    </row>
    <row r="50">
      <c r="A50" t="inlineStr">
        <is>
          <t>5419 - LOE - SAFETY ENVIR &amp; REGUL</t>
        </is>
      </c>
      <c r="C50" s="38" t="n">
        <v>82952.91</v>
      </c>
      <c r="D50" s="38" t="n">
        <v>119456.9</v>
      </c>
      <c r="E50" s="38" t="n">
        <v>210558.52</v>
      </c>
      <c r="F50" s="38" t="n">
        <v>187920.5</v>
      </c>
      <c r="G50" s="38" t="n">
        <v>238993.76</v>
      </c>
      <c r="H50" s="38" t="n">
        <v>257642.83</v>
      </c>
      <c r="I50" s="38" t="n">
        <v>176889.13</v>
      </c>
      <c r="J50" s="38" t="n">
        <v>192606.22</v>
      </c>
      <c r="K50" s="38" t="n">
        <v>186752.45</v>
      </c>
      <c r="L50" s="38" t="n">
        <v>201343.86</v>
      </c>
      <c r="M50" s="38" t="n">
        <v>140854.67</v>
      </c>
      <c r="N50" s="38" t="n">
        <v>113884.13</v>
      </c>
      <c r="O50" s="38" t="n">
        <v>2109855.87</v>
      </c>
      <c r="P50" s="38" t="n"/>
      <c r="Q50" s="38" t="n">
        <v>156423.71</v>
      </c>
      <c r="R50" s="38" t="n">
        <v>229095.68</v>
      </c>
      <c r="S50" s="38" t="n">
        <v>112529.99</v>
      </c>
      <c r="T50" s="38" t="n">
        <v>115440.53</v>
      </c>
      <c r="U50" s="38" t="n">
        <v>123591.21</v>
      </c>
      <c r="V50" s="38" t="n">
        <v>165977.63</v>
      </c>
      <c r="W50" s="38" t="n">
        <v>95421.56</v>
      </c>
      <c r="X50" s="38" t="n">
        <v>126870.01</v>
      </c>
      <c r="Y50" s="38" t="n">
        <v>103252.83</v>
      </c>
      <c r="Z50" s="38" t="n">
        <v>144913.26</v>
      </c>
      <c r="AA50" s="38" t="n">
        <v>149076.83</v>
      </c>
      <c r="AB50" s="38" t="n">
        <v>85443.37</v>
      </c>
      <c r="AC50" s="38" t="n">
        <v>1608036.61</v>
      </c>
      <c r="AD50" s="38" t="n"/>
      <c r="AE50" s="38" t="n">
        <v>75179.28999999999</v>
      </c>
      <c r="AF50" s="38" t="n">
        <v>77549.07000000001</v>
      </c>
      <c r="AG50" s="38" t="n">
        <v>112191</v>
      </c>
      <c r="AH50" s="38" t="n">
        <v>77168.56</v>
      </c>
      <c r="AI50" s="38" t="n">
        <v>97379.23</v>
      </c>
      <c r="AJ50" s="38" t="n">
        <v>61282.59</v>
      </c>
      <c r="AK50" s="38" t="n">
        <v>76849.71000000001</v>
      </c>
    </row>
    <row r="51">
      <c r="A51" t="inlineStr">
        <is>
          <t>5420 - LOE - SUBMERSIBLE PUMPS</t>
        </is>
      </c>
      <c r="C51" s="38" t="n">
        <v>43118.15</v>
      </c>
      <c r="D51" s="38" t="n">
        <v>73905.49000000001</v>
      </c>
      <c r="E51" s="38" t="n">
        <v>103714.38</v>
      </c>
      <c r="F51" s="38" t="n">
        <v>142905.03</v>
      </c>
      <c r="G51" s="38" t="n">
        <v>164933.7</v>
      </c>
      <c r="H51" s="38" t="n">
        <v>200427</v>
      </c>
      <c r="I51" s="38" t="n">
        <v>104345.34</v>
      </c>
      <c r="J51" s="38" t="n">
        <v>136422.16</v>
      </c>
      <c r="K51" s="38" t="n">
        <v>105915.66</v>
      </c>
      <c r="L51" s="38" t="n">
        <v>81931.57000000001</v>
      </c>
      <c r="M51" s="38" t="n">
        <v>112767.29</v>
      </c>
      <c r="N51" s="38" t="n">
        <v>102373.55</v>
      </c>
      <c r="O51" s="38" t="n">
        <v>1372759.32</v>
      </c>
      <c r="P51" s="38" t="n"/>
      <c r="Q51" s="38" t="n">
        <v>103952.58</v>
      </c>
      <c r="R51" s="38" t="n">
        <v>134805.66</v>
      </c>
      <c r="S51" s="38" t="n">
        <v>111692.33</v>
      </c>
      <c r="T51" s="38" t="n">
        <v>71722.95</v>
      </c>
      <c r="U51" s="38" t="n">
        <v>56328.77</v>
      </c>
      <c r="V51" s="38" t="n">
        <v>111849.93</v>
      </c>
      <c r="W51" s="38" t="n">
        <v>95293.87</v>
      </c>
      <c r="X51" s="38" t="n">
        <v>54361.95</v>
      </c>
      <c r="Y51" s="38" t="n">
        <v>67504.94</v>
      </c>
      <c r="Z51" s="38" t="n">
        <v>91857.08</v>
      </c>
      <c r="AA51" s="38" t="n">
        <v>80174.39999999999</v>
      </c>
      <c r="AB51" s="38" t="n">
        <v>47222.02</v>
      </c>
      <c r="AC51" s="38" t="n">
        <v>1026766.48</v>
      </c>
      <c r="AD51" s="38" t="n"/>
      <c r="AE51" s="38" t="n">
        <v>65211.25</v>
      </c>
      <c r="AF51" s="38" t="n">
        <v>58410.33</v>
      </c>
      <c r="AG51" s="38" t="n">
        <v>54038.25</v>
      </c>
      <c r="AH51" s="38" t="n">
        <v>57930.58</v>
      </c>
      <c r="AI51" s="38" t="n">
        <v>40632.5</v>
      </c>
      <c r="AJ51" s="38" t="n">
        <v>36256.5</v>
      </c>
      <c r="AK51" s="38" t="n">
        <v>29722.56</v>
      </c>
    </row>
    <row r="52">
      <c r="A52" t="inlineStr">
        <is>
          <t>5421 - LOE - SUPPLIES &amp; MISCELLANEOUS</t>
        </is>
      </c>
      <c r="C52" s="38" t="n">
        <v>60364.68</v>
      </c>
      <c r="D52" s="38" t="n">
        <v>71985.09</v>
      </c>
      <c r="E52" s="38" t="n">
        <v>155215.26</v>
      </c>
      <c r="F52" s="38" t="n">
        <v>134608.14</v>
      </c>
      <c r="G52" s="38" t="n">
        <v>146504.93</v>
      </c>
      <c r="H52" s="38" t="n">
        <v>138805.65</v>
      </c>
      <c r="I52" s="38" t="n">
        <v>185680.15</v>
      </c>
      <c r="J52" s="38" t="n">
        <v>150478.83</v>
      </c>
      <c r="K52" s="38" t="n">
        <v>126003.02</v>
      </c>
      <c r="L52" s="38" t="n">
        <v>158991.28</v>
      </c>
      <c r="M52" s="38" t="n">
        <v>126971.93</v>
      </c>
      <c r="N52" s="38" t="n">
        <v>101361.56</v>
      </c>
      <c r="O52" s="38" t="n">
        <v>1556970.53</v>
      </c>
      <c r="P52" s="38" t="n"/>
      <c r="Q52" s="38" t="n">
        <v>147821.09</v>
      </c>
      <c r="R52" s="38" t="n">
        <v>186303.22</v>
      </c>
      <c r="S52" s="38" t="n">
        <v>85970.16</v>
      </c>
      <c r="T52" s="38" t="n">
        <v>131941.29</v>
      </c>
      <c r="U52" s="38" t="n">
        <v>109614.83</v>
      </c>
      <c r="V52" s="38" t="n">
        <v>119132.79</v>
      </c>
      <c r="W52" s="38" t="n">
        <v>76085.59</v>
      </c>
      <c r="X52" s="38" t="n">
        <v>85100.75</v>
      </c>
      <c r="Y52" s="38" t="n">
        <v>94576.69</v>
      </c>
      <c r="Z52" s="38" t="n">
        <v>110400.67</v>
      </c>
      <c r="AA52" s="38" t="n">
        <v>112120.68</v>
      </c>
      <c r="AB52" s="38" t="n">
        <v>52924.24</v>
      </c>
      <c r="AC52" s="38" t="n">
        <v>1311992</v>
      </c>
      <c r="AD52" s="38" t="n"/>
      <c r="AE52" s="38" t="n">
        <v>54583.48</v>
      </c>
      <c r="AF52" s="38" t="n">
        <v>74846.39</v>
      </c>
      <c r="AG52" s="38" t="n">
        <v>60330.03</v>
      </c>
      <c r="AH52" s="38" t="n">
        <v>65095.24</v>
      </c>
      <c r="AI52" s="38" t="n">
        <v>69337.42</v>
      </c>
      <c r="AJ52" s="38" t="n">
        <v>48475.84</v>
      </c>
      <c r="AK52" s="38" t="n">
        <v>43872.07</v>
      </c>
    </row>
    <row r="53">
      <c r="A53" t="inlineStr">
        <is>
          <t>5422 - LOE - UTILITIES</t>
        </is>
      </c>
      <c r="C53" s="38" t="n">
        <v>30171.25</v>
      </c>
      <c r="D53" s="38" t="n">
        <v>74596.91</v>
      </c>
      <c r="E53" s="38" t="n">
        <v>95086.25999999999</v>
      </c>
      <c r="F53" s="38" t="n">
        <v>157533.16</v>
      </c>
      <c r="G53" s="38" t="n">
        <v>159153.66</v>
      </c>
      <c r="H53" s="38" t="n">
        <v>157004.53</v>
      </c>
      <c r="I53" s="38" t="n">
        <v>101202.4</v>
      </c>
      <c r="J53" s="38" t="n">
        <v>102370.07</v>
      </c>
      <c r="K53" s="38" t="n">
        <v>106064.17</v>
      </c>
      <c r="L53" s="38" t="n">
        <v>141821.91</v>
      </c>
      <c r="M53" s="38" t="n">
        <v>131895.15</v>
      </c>
      <c r="N53" s="38" t="n">
        <v>65563.59</v>
      </c>
      <c r="O53" s="38" t="n">
        <v>1322463.06</v>
      </c>
      <c r="P53" s="38" t="n"/>
      <c r="Q53" s="38" t="n">
        <v>113263.54</v>
      </c>
      <c r="R53" s="38" t="n">
        <v>141853.21</v>
      </c>
      <c r="S53" s="38" t="n">
        <v>73553.55</v>
      </c>
      <c r="T53" s="38" t="n">
        <v>75156.82000000001</v>
      </c>
      <c r="U53" s="38" t="n">
        <v>64354.39</v>
      </c>
      <c r="V53" s="38" t="n">
        <v>116312.35</v>
      </c>
      <c r="W53" s="38" t="n">
        <v>102129.36</v>
      </c>
      <c r="X53" s="38" t="n">
        <v>90540.27</v>
      </c>
      <c r="Y53" s="38" t="n">
        <v>85190.94</v>
      </c>
      <c r="Z53" s="38" t="n">
        <v>62990.83</v>
      </c>
      <c r="AA53" s="38" t="n">
        <v>76520</v>
      </c>
      <c r="AB53" s="38" t="n">
        <v>39806.01</v>
      </c>
      <c r="AC53" s="38" t="n">
        <v>1041671.27</v>
      </c>
      <c r="AD53" s="38" t="n"/>
      <c r="AE53" s="38" t="n">
        <v>43245.1</v>
      </c>
      <c r="AF53" s="38" t="n">
        <v>64115.2</v>
      </c>
      <c r="AG53" s="38" t="n">
        <v>62228.32</v>
      </c>
      <c r="AH53" s="38" t="n">
        <v>37872.01</v>
      </c>
      <c r="AI53" s="38" t="n">
        <v>44375.38</v>
      </c>
      <c r="AJ53" s="38" t="n">
        <v>50809.73</v>
      </c>
      <c r="AK53" s="38" t="n">
        <v>28750.92</v>
      </c>
    </row>
    <row r="54">
      <c r="A54" t="inlineStr">
        <is>
          <t>5423 - LOE - VACUUM TRUCK</t>
        </is>
      </c>
      <c r="C54" s="38" t="n">
        <v>28449.78</v>
      </c>
      <c r="D54" s="38" t="n">
        <v>52190.89</v>
      </c>
      <c r="E54" s="38" t="n">
        <v>78932.03999999999</v>
      </c>
      <c r="F54" s="38" t="n">
        <v>103635.49</v>
      </c>
      <c r="G54" s="38" t="n">
        <v>125910.72</v>
      </c>
      <c r="H54" s="38" t="n">
        <v>141497.74</v>
      </c>
      <c r="I54" s="38" t="n">
        <v>125766.45</v>
      </c>
      <c r="J54" s="38" t="n">
        <v>139719.61</v>
      </c>
      <c r="K54" s="38" t="n">
        <v>89028.53</v>
      </c>
      <c r="L54" s="38" t="n">
        <v>115021.78</v>
      </c>
      <c r="M54" s="38" t="n">
        <v>110604.52</v>
      </c>
      <c r="N54" s="38" t="n">
        <v>49158.46</v>
      </c>
      <c r="O54" s="38" t="n">
        <v>1159916.02</v>
      </c>
      <c r="P54" s="38" t="n"/>
      <c r="Q54" s="38" t="n">
        <v>70059.3</v>
      </c>
      <c r="R54" s="38" t="n">
        <v>83112.32000000001</v>
      </c>
      <c r="S54" s="38" t="n">
        <v>99255.17</v>
      </c>
      <c r="T54" s="38" t="n">
        <v>56726.29</v>
      </c>
      <c r="U54" s="38" t="n">
        <v>42911.13</v>
      </c>
      <c r="V54" s="38" t="n">
        <v>64391.15</v>
      </c>
      <c r="W54" s="38" t="n">
        <v>73265.67999999999</v>
      </c>
      <c r="X54" s="38" t="n">
        <v>67742.05</v>
      </c>
      <c r="Y54" s="38" t="n">
        <v>50799.54</v>
      </c>
      <c r="Z54" s="38" t="n">
        <v>78032.2</v>
      </c>
      <c r="AA54" s="38" t="n">
        <v>59857.49</v>
      </c>
      <c r="AB54" s="38" t="n">
        <v>43914.32</v>
      </c>
      <c r="AC54" s="38" t="n">
        <v>790066.63</v>
      </c>
      <c r="AD54" s="38" t="n"/>
      <c r="AE54" s="38" t="n">
        <v>42269.54</v>
      </c>
      <c r="AF54" s="38" t="n">
        <v>52751.08</v>
      </c>
      <c r="AG54" s="38" t="n">
        <v>48724.36</v>
      </c>
      <c r="AH54" s="38" t="n">
        <v>40116.98</v>
      </c>
      <c r="AI54" s="38" t="n">
        <v>40428.15</v>
      </c>
      <c r="AJ54" s="38" t="n">
        <v>35690.15</v>
      </c>
      <c r="AK54" s="38" t="n">
        <v>24931.83</v>
      </c>
    </row>
    <row r="55">
      <c r="A55" t="inlineStr">
        <is>
          <t>5424 - LOE - WATER HAULING &amp; SWD DISP</t>
        </is>
      </c>
      <c r="C55" s="38" t="n">
        <v>59536.86</v>
      </c>
      <c r="D55" s="38" t="n">
        <v>92576.42999999999</v>
      </c>
      <c r="E55" s="38" t="n">
        <v>154959.69</v>
      </c>
      <c r="F55" s="38" t="n">
        <v>125359.76</v>
      </c>
      <c r="G55" s="38" t="n">
        <v>116449.49</v>
      </c>
      <c r="H55" s="38" t="n">
        <v>137258.09</v>
      </c>
      <c r="I55" s="38" t="n">
        <v>175015.92</v>
      </c>
      <c r="J55" s="38" t="n">
        <v>169228.39</v>
      </c>
      <c r="K55" s="38" t="n">
        <v>96108.83</v>
      </c>
      <c r="L55" s="38" t="n">
        <v>155820.31</v>
      </c>
      <c r="M55" s="38" t="n">
        <v>108260.79</v>
      </c>
      <c r="N55" s="38" t="n">
        <v>106066.99</v>
      </c>
      <c r="O55" s="38" t="n">
        <v>1496641.53</v>
      </c>
      <c r="P55" s="38" t="n"/>
      <c r="Q55" s="38" t="n">
        <v>134192.48</v>
      </c>
      <c r="R55" s="38" t="n">
        <v>184132.38</v>
      </c>
      <c r="S55" s="38" t="n">
        <v>137409.35</v>
      </c>
      <c r="T55" s="38" t="n">
        <v>120494.71</v>
      </c>
      <c r="U55" s="38" t="n">
        <v>90464.94</v>
      </c>
      <c r="V55" s="38" t="n">
        <v>137472.62</v>
      </c>
      <c r="W55" s="38" t="n">
        <v>103815.65</v>
      </c>
      <c r="X55" s="38" t="n">
        <v>83068.3</v>
      </c>
      <c r="Y55" s="38" t="n">
        <v>107765.36</v>
      </c>
      <c r="Z55" s="38" t="n">
        <v>92688.73</v>
      </c>
      <c r="AA55" s="38" t="n">
        <v>91834.23</v>
      </c>
      <c r="AB55" s="38" t="n">
        <v>48829.69</v>
      </c>
      <c r="AC55" s="38" t="n">
        <v>1332168.43</v>
      </c>
      <c r="AD55" s="38" t="n"/>
      <c r="AE55" s="38" t="n">
        <v>67118.23</v>
      </c>
      <c r="AF55" s="38" t="n">
        <v>67659.86</v>
      </c>
      <c r="AG55" s="38" t="n">
        <v>63707.26</v>
      </c>
      <c r="AH55" s="38" t="n">
        <v>77617.58</v>
      </c>
      <c r="AI55" s="38" t="n">
        <v>62544.45</v>
      </c>
      <c r="AJ55" s="38" t="n">
        <v>63125.67</v>
      </c>
      <c r="AK55" s="38" t="n">
        <v>61734.44</v>
      </c>
    </row>
    <row r="56">
      <c r="A56" t="inlineStr">
        <is>
          <t>5425 - LOE - GENERATOR RENTAL</t>
        </is>
      </c>
      <c r="C56" s="38" t="n">
        <v>18212.17</v>
      </c>
      <c r="D56" s="38" t="n">
        <v>26890.01</v>
      </c>
      <c r="E56" s="38" t="n">
        <v>36684.38</v>
      </c>
      <c r="F56" s="38" t="n">
        <v>45978.11</v>
      </c>
      <c r="G56" s="38" t="n">
        <v>35301.53</v>
      </c>
      <c r="H56" s="38" t="n">
        <v>68127.35000000001</v>
      </c>
      <c r="I56" s="38" t="n">
        <v>52898.1</v>
      </c>
      <c r="J56" s="38" t="n">
        <v>62408.25</v>
      </c>
      <c r="K56" s="38" t="n">
        <v>38262.98</v>
      </c>
      <c r="L56" s="38" t="n">
        <v>50223.56</v>
      </c>
      <c r="M56" s="38" t="n">
        <v>38391.78</v>
      </c>
      <c r="N56" s="38" t="n">
        <v>30930.91</v>
      </c>
      <c r="O56" s="38" t="n">
        <v>504309.12</v>
      </c>
      <c r="P56" s="38" t="n"/>
      <c r="Q56" s="38" t="n">
        <v>45488.16</v>
      </c>
      <c r="R56" s="38" t="n">
        <v>35618.42</v>
      </c>
      <c r="S56" s="38" t="n">
        <v>27523.58</v>
      </c>
      <c r="T56" s="38" t="n">
        <v>28644.22</v>
      </c>
      <c r="U56" s="38" t="n">
        <v>33595.02</v>
      </c>
      <c r="V56" s="38" t="n">
        <v>40417.92</v>
      </c>
      <c r="W56" s="38" t="n">
        <v>21710.99</v>
      </c>
      <c r="X56" s="38" t="n">
        <v>23539.47</v>
      </c>
      <c r="Y56" s="38" t="n">
        <v>29639.78</v>
      </c>
      <c r="Z56" s="38" t="n">
        <v>37337.49</v>
      </c>
      <c r="AA56" s="38" t="n">
        <v>38396.07</v>
      </c>
      <c r="AB56" s="38" t="n">
        <v>22948.08</v>
      </c>
      <c r="AC56" s="38" t="n">
        <v>384859.2</v>
      </c>
      <c r="AD56" s="38" t="n"/>
      <c r="AE56" s="38" t="n">
        <v>16970.17</v>
      </c>
      <c r="AF56" s="38" t="n">
        <v>18498.22</v>
      </c>
      <c r="AG56" s="38" t="n">
        <v>29293.97</v>
      </c>
      <c r="AH56" s="38" t="n">
        <v>17865.36</v>
      </c>
      <c r="AI56" s="38" t="n">
        <v>18485.36</v>
      </c>
      <c r="AJ56" s="38" t="n">
        <v>18953.43</v>
      </c>
      <c r="AK56" s="38" t="n">
        <v>16335.28</v>
      </c>
    </row>
    <row r="57"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</row>
    <row r="58">
      <c r="A58" t="inlineStr">
        <is>
          <t>Ad valorem tax</t>
        </is>
      </c>
      <c r="C58" s="38" t="n">
        <v>63192.03</v>
      </c>
      <c r="D58" s="38" t="n">
        <v>89262.05</v>
      </c>
      <c r="E58" s="38" t="n">
        <v>160016.27</v>
      </c>
      <c r="F58" s="38" t="n">
        <v>212015.23</v>
      </c>
      <c r="G58" s="38" t="n">
        <v>198032.36</v>
      </c>
      <c r="H58" s="38" t="n">
        <v>240871.73</v>
      </c>
      <c r="I58" s="38" t="n">
        <v>197230.84</v>
      </c>
      <c r="J58" s="38" t="n">
        <v>209056.36</v>
      </c>
      <c r="K58" s="38" t="n">
        <v>146418.43</v>
      </c>
      <c r="L58" s="38" t="n">
        <v>165731.49</v>
      </c>
      <c r="M58" s="38" t="n">
        <v>165001.36</v>
      </c>
      <c r="N58" s="38" t="n">
        <v>124068.66</v>
      </c>
      <c r="O58" s="38" t="n">
        <v>1970896.81</v>
      </c>
      <c r="P58" s="38" t="n"/>
      <c r="Q58" s="38" t="n">
        <v>178523.42</v>
      </c>
      <c r="R58" s="38" t="n">
        <v>193960.62</v>
      </c>
      <c r="S58" s="38" t="n">
        <v>152334.72</v>
      </c>
      <c r="T58" s="38" t="n">
        <v>131857.2</v>
      </c>
      <c r="U58" s="38" t="n">
        <v>110691.14</v>
      </c>
      <c r="V58" s="38" t="n">
        <v>151369.55</v>
      </c>
      <c r="W58" s="38" t="n">
        <v>121158.62</v>
      </c>
      <c r="X58" s="38" t="n">
        <v>109430.22</v>
      </c>
      <c r="Y58" s="38" t="n">
        <v>110577.17</v>
      </c>
      <c r="Z58" s="38" t="n">
        <v>120992.33</v>
      </c>
      <c r="AA58" s="38" t="n">
        <v>128216.01</v>
      </c>
      <c r="AB58" s="38" t="n">
        <v>82278.13</v>
      </c>
      <c r="AC58" s="38" t="n">
        <v>1591389.13</v>
      </c>
      <c r="AD58" s="38" t="n"/>
      <c r="AE58" s="38" t="n">
        <v>83804.60000000001</v>
      </c>
      <c r="AF58" s="38" t="n">
        <v>80168.77</v>
      </c>
      <c r="AG58" s="38" t="n">
        <v>94165.63</v>
      </c>
      <c r="AH58" s="38" t="n">
        <v>77274.17</v>
      </c>
      <c r="AI58" s="38" t="n">
        <v>78784.7</v>
      </c>
      <c r="AJ58" s="38" t="n">
        <v>72109.42999999999</v>
      </c>
      <c r="AK58" s="38" t="n">
        <v>59581.1</v>
      </c>
    </row>
    <row r="59"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</row>
    <row r="60">
      <c r="A60" t="inlineStr">
        <is>
          <t>Total LOE</t>
        </is>
      </c>
      <c r="C60" s="38" t="n">
        <v>490552.19</v>
      </c>
      <c r="D60" s="38" t="n">
        <v>692930.63</v>
      </c>
      <c r="E60" s="38" t="n">
        <v>1242187.11</v>
      </c>
      <c r="F60" s="38" t="n">
        <v>1645848.84</v>
      </c>
      <c r="G60" s="38" t="n">
        <v>1537301.53</v>
      </c>
      <c r="H60" s="38" t="n">
        <v>1869858.41</v>
      </c>
      <c r="I60" s="38" t="n">
        <v>1531079.4</v>
      </c>
      <c r="J60" s="38" t="n">
        <v>1622879.47</v>
      </c>
      <c r="K60" s="38" t="n">
        <v>1136628.74</v>
      </c>
      <c r="L60" s="38" t="n">
        <v>1286553.74</v>
      </c>
      <c r="M60" s="38" t="n">
        <v>1280885.76</v>
      </c>
      <c r="N60" s="38" t="n">
        <v>963130.14</v>
      </c>
      <c r="O60" s="38" t="n">
        <v>15299835.96</v>
      </c>
      <c r="P60" s="38" t="n"/>
      <c r="Q60" s="38" t="n">
        <v>1385855.95</v>
      </c>
      <c r="R60" s="38" t="n">
        <v>1505693.09</v>
      </c>
      <c r="S60" s="38" t="n">
        <v>1182556.19</v>
      </c>
      <c r="T60" s="38" t="n">
        <v>1023591.65</v>
      </c>
      <c r="U60" s="38" t="n">
        <v>859282.0699999999</v>
      </c>
      <c r="V60" s="38" t="n">
        <v>1175063.69</v>
      </c>
      <c r="W60" s="38" t="n">
        <v>940539.89</v>
      </c>
      <c r="X60" s="38" t="n">
        <v>849493.7</v>
      </c>
      <c r="Y60" s="38" t="n">
        <v>858397.3100000001</v>
      </c>
      <c r="Z60" s="38" t="n">
        <v>939248.96</v>
      </c>
      <c r="AA60" s="38" t="n">
        <v>995325.52</v>
      </c>
      <c r="AB60" s="38" t="n">
        <v>638715.27</v>
      </c>
      <c r="AC60" s="38" t="n">
        <v>12353763.28</v>
      </c>
      <c r="AD60" s="38" t="n"/>
      <c r="AE60" s="38" t="n">
        <v>650565.1</v>
      </c>
      <c r="AF60" s="38" t="n">
        <v>622340.55</v>
      </c>
      <c r="AG60" s="38" t="n">
        <v>730996.51</v>
      </c>
      <c r="AH60" s="38" t="n">
        <v>599870.1</v>
      </c>
      <c r="AI60" s="38" t="n">
        <v>611596.2</v>
      </c>
      <c r="AJ60" s="38" t="n">
        <v>559776.83</v>
      </c>
      <c r="AK60" s="38" t="n">
        <v>462520.94</v>
      </c>
    </row>
    <row r="61"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</row>
    <row r="62">
      <c r="A62" t="inlineStr">
        <is>
          <t>Operating Income (Loss)</t>
        </is>
      </c>
      <c r="C62" s="38" t="n">
        <v>2.03</v>
      </c>
      <c r="D62" s="38" t="n">
        <v>0</v>
      </c>
      <c r="E62" s="38" t="n">
        <v>-0.06</v>
      </c>
      <c r="F62" s="38" t="n">
        <v>-28.89</v>
      </c>
      <c r="G62" s="38" t="n">
        <v>2.16</v>
      </c>
      <c r="H62" s="38" t="n">
        <v>-0.5100000000000001</v>
      </c>
      <c r="I62" s="38" t="n">
        <v>-20.59</v>
      </c>
      <c r="J62" s="38" t="n">
        <v>-20.96</v>
      </c>
      <c r="K62" s="38" t="n">
        <v>-4658.59</v>
      </c>
      <c r="L62" s="38" t="n">
        <v>-27404.30000000001</v>
      </c>
      <c r="M62" s="38" t="n">
        <v>-19280.45999999999</v>
      </c>
      <c r="N62" s="38" t="n">
        <v>347791.6200000001</v>
      </c>
      <c r="O62" s="38" t="n">
        <v>296381.4500000001</v>
      </c>
      <c r="P62" s="38" t="n"/>
      <c r="Q62" s="38" t="n">
        <v>655297.1599999998</v>
      </c>
      <c r="R62" s="38" t="n">
        <v>417343.4899999999</v>
      </c>
      <c r="S62" s="38" t="n">
        <v>309757.74</v>
      </c>
      <c r="T62" s="38" t="n">
        <v>211341.6500000001</v>
      </c>
      <c r="U62" s="38" t="n">
        <v>214380.62</v>
      </c>
      <c r="V62" s="38" t="n">
        <v>408364.8100000001</v>
      </c>
      <c r="W62" s="38" t="n">
        <v>6725004.369999999</v>
      </c>
      <c r="X62" s="38" t="n">
        <v>7293793.439999996</v>
      </c>
      <c r="Y62" s="38" t="n">
        <v>9796969.210000001</v>
      </c>
      <c r="Z62" s="38" t="n">
        <v>12952585.27</v>
      </c>
      <c r="AA62" s="38" t="n">
        <v>8724422.689999998</v>
      </c>
      <c r="AB62" s="38" t="n">
        <v>6980048.860000003</v>
      </c>
      <c r="AC62" s="38" t="n">
        <v>54689309.30999999</v>
      </c>
      <c r="AD62" s="38" t="n"/>
      <c r="AE62" s="38" t="n">
        <v>9469926.290000003</v>
      </c>
      <c r="AF62" s="38" t="n">
        <v>9232429.810000001</v>
      </c>
      <c r="AG62" s="38" t="n">
        <v>15789940.45</v>
      </c>
      <c r="AH62" s="38" t="n">
        <v>18644239.51</v>
      </c>
      <c r="AI62" s="38" t="n">
        <v>17773801.52</v>
      </c>
      <c r="AJ62" s="38" t="n">
        <v>15910464.35</v>
      </c>
      <c r="AK62" s="38" t="n">
        <v>18448489.62999998</v>
      </c>
    </row>
    <row r="63"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</row>
    <row r="64">
      <c r="A64" t="inlineStr">
        <is>
          <t>Workover Expense: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</row>
    <row r="65">
      <c r="A65" t="inlineStr">
        <is>
          <t>5450 - WOE - CEMENT &amp; CEMENT SERVICES</t>
        </is>
      </c>
      <c r="C65" s="38" t="inlineStr"/>
      <c r="D65" s="38" t="inlineStr"/>
      <c r="E65" s="38" t="inlineStr"/>
      <c r="F65" s="38" t="inlineStr"/>
      <c r="G65" s="38" t="inlineStr"/>
      <c r="H65" s="38" t="inlineStr"/>
      <c r="I65" s="38" t="inlineStr"/>
      <c r="J65" s="38" t="inlineStr"/>
      <c r="K65" s="38" t="inlineStr"/>
      <c r="L65" s="38" t="inlineStr"/>
      <c r="M65" s="38" t="inlineStr"/>
      <c r="N65" s="38" t="inlineStr"/>
      <c r="O65" s="38" t="n">
        <v>0</v>
      </c>
      <c r="P65" s="38" t="n"/>
      <c r="Q65" s="38" t="inlineStr"/>
      <c r="R65" s="38" t="inlineStr"/>
      <c r="S65" s="38" t="inlineStr"/>
      <c r="T65" s="38" t="inlineStr"/>
      <c r="U65" s="38" t="inlineStr"/>
      <c r="V65" s="38" t="inlineStr"/>
      <c r="W65" s="38" t="inlineStr"/>
      <c r="X65" s="38" t="inlineStr"/>
      <c r="Y65" s="38" t="inlineStr"/>
      <c r="Z65" s="38" t="inlineStr"/>
      <c r="AA65" s="38" t="n">
        <v>15262.91</v>
      </c>
      <c r="AB65" s="38" t="n">
        <v>10708.06</v>
      </c>
      <c r="AC65" s="38" t="n">
        <v>25970.97</v>
      </c>
      <c r="AD65" s="38" t="n"/>
      <c r="AE65" s="38" t="inlineStr"/>
      <c r="AF65" s="38" t="inlineStr"/>
      <c r="AG65" s="38" t="inlineStr"/>
      <c r="AH65" s="38" t="inlineStr"/>
      <c r="AI65" s="38" t="inlineStr"/>
      <c r="AJ65" s="38" t="inlineStr"/>
      <c r="AK65" s="38" t="inlineStr"/>
    </row>
    <row r="66">
      <c r="A66" t="inlineStr">
        <is>
          <t>5451 - WOE - CHEMICALS &amp; TREATING</t>
        </is>
      </c>
      <c r="C66" s="38" t="inlineStr"/>
      <c r="D66" s="38" t="inlineStr"/>
      <c r="E66" s="38" t="inlineStr"/>
      <c r="F66" s="38" t="inlineStr"/>
      <c r="G66" s="38" t="inlineStr"/>
      <c r="H66" s="38" t="inlineStr"/>
      <c r="I66" s="38" t="inlineStr"/>
      <c r="J66" s="38" t="inlineStr"/>
      <c r="K66" s="38" t="inlineStr"/>
      <c r="L66" s="38" t="inlineStr"/>
      <c r="M66" s="38" t="inlineStr"/>
      <c r="N66" s="38" t="inlineStr"/>
      <c r="O66" s="38" t="n">
        <v>0</v>
      </c>
      <c r="P66" s="38" t="n"/>
      <c r="Q66" s="38" t="inlineStr"/>
      <c r="R66" s="38" t="inlineStr"/>
      <c r="S66" s="38" t="inlineStr"/>
      <c r="T66" s="38" t="inlineStr"/>
      <c r="U66" s="38" t="inlineStr"/>
      <c r="V66" s="38" t="inlineStr"/>
      <c r="W66" s="38" t="inlineStr"/>
      <c r="X66" s="38" t="inlineStr"/>
      <c r="Y66" s="38" t="inlineStr"/>
      <c r="Z66" s="38" t="n">
        <v>3412.1</v>
      </c>
      <c r="AA66" s="38" t="n">
        <v>2742.67</v>
      </c>
      <c r="AB66" s="38" t="inlineStr"/>
      <c r="AC66" s="38" t="n">
        <v>6154.77</v>
      </c>
      <c r="AD66" s="38" t="n"/>
      <c r="AE66" s="38" t="inlineStr"/>
      <c r="AF66" s="38" t="inlineStr"/>
      <c r="AG66" s="38" t="inlineStr"/>
      <c r="AH66" s="38" t="inlineStr"/>
      <c r="AI66" s="38" t="inlineStr"/>
      <c r="AJ66" s="38" t="inlineStr"/>
      <c r="AK66" s="38" t="inlineStr"/>
    </row>
    <row r="67">
      <c r="A67" t="inlineStr">
        <is>
          <t>5452 - WOE - COMPANY VEHICLE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</row>
    <row r="68">
      <c r="A68" t="inlineStr">
        <is>
          <t>5453 - WOE - CONSULTING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n">
        <v>600.03</v>
      </c>
      <c r="S68" s="38" t="n">
        <v>680.98</v>
      </c>
      <c r="T68" s="38" t="n">
        <v>599.99</v>
      </c>
      <c r="U68" s="38" t="n">
        <v>10229.41</v>
      </c>
      <c r="V68" s="38" t="n">
        <v>111.08</v>
      </c>
      <c r="W68" s="38" t="n">
        <v>4684.059999999999</v>
      </c>
      <c r="X68" s="38" t="n">
        <v>8591.710000000001</v>
      </c>
      <c r="Y68" s="38" t="inlineStr"/>
      <c r="Z68" s="38" t="n">
        <v>17227.36</v>
      </c>
      <c r="AA68" s="38" t="n">
        <v>20367.55</v>
      </c>
      <c r="AB68" s="38" t="n">
        <v>19931.35</v>
      </c>
      <c r="AC68" s="38" t="n">
        <v>83023.51999999999</v>
      </c>
      <c r="AD68" s="38" t="n"/>
      <c r="AE68" s="38" t="n">
        <v>6023.8</v>
      </c>
      <c r="AF68" s="38" t="n">
        <v>1964.7</v>
      </c>
      <c r="AG68" s="38" t="n">
        <v>27450.53</v>
      </c>
      <c r="AH68" s="38" t="inlineStr"/>
      <c r="AI68" s="38" t="n">
        <v>4476.92</v>
      </c>
      <c r="AJ68" s="38" t="inlineStr"/>
      <c r="AK68" s="38" t="n">
        <v>19095.79</v>
      </c>
    </row>
    <row r="69">
      <c r="A69" t="inlineStr">
        <is>
          <t>5454 - WOE - CONTRACT LABOR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n">
        <v>8567.41</v>
      </c>
      <c r="V69" s="38" t="n">
        <v>478.1</v>
      </c>
      <c r="W69" s="38" t="n">
        <v>2.4</v>
      </c>
      <c r="X69" s="38" t="n">
        <v>9140.609999999999</v>
      </c>
      <c r="Y69" s="38" t="inlineStr"/>
      <c r="Z69" s="38" t="n">
        <v>20954.09</v>
      </c>
      <c r="AA69" s="38" t="n">
        <v>25634.46</v>
      </c>
      <c r="AB69" s="38" t="n">
        <v>33910.69</v>
      </c>
      <c r="AC69" s="38" t="n">
        <v>98687.75999999998</v>
      </c>
      <c r="AD69" s="38" t="n"/>
      <c r="AE69" s="38" t="n">
        <v>2134</v>
      </c>
      <c r="AF69" s="38" t="n">
        <v>4096.660000000001</v>
      </c>
      <c r="AG69" s="38" t="n">
        <v>54243.84999999999</v>
      </c>
      <c r="AH69" s="38" t="n">
        <v>1555.44</v>
      </c>
      <c r="AI69" s="38" t="n">
        <v>13053.19</v>
      </c>
      <c r="AJ69" s="38" t="n">
        <v>10949.28</v>
      </c>
      <c r="AK69" s="38" t="n">
        <v>18652.18</v>
      </c>
    </row>
    <row r="70">
      <c r="A70" t="inlineStr">
        <is>
          <t>5455 - WOE - EQUIPMENT RENTAL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  <c r="J70" s="38" t="inlineStr"/>
      <c r="K70" s="38" t="inlineStr"/>
      <c r="L70" s="38" t="inlineStr"/>
      <c r="M70" s="38" t="inlineStr"/>
      <c r="N70" s="38" t="inlineStr"/>
      <c r="O70" s="38" t="n">
        <v>0</v>
      </c>
      <c r="P70" s="38" t="n"/>
      <c r="Q70" s="38" t="inlineStr"/>
      <c r="R70" s="38" t="inlineStr"/>
      <c r="S70" s="38" t="inlineStr"/>
      <c r="T70" s="38" t="inlineStr"/>
      <c r="U70" s="38" t="n">
        <v>5930.780000000001</v>
      </c>
      <c r="V70" s="38" t="n">
        <v>3226.44</v>
      </c>
      <c r="W70" s="38" t="n">
        <v>3828.120000000001</v>
      </c>
      <c r="X70" s="38" t="n">
        <v>36678.99999999999</v>
      </c>
      <c r="Y70" s="38" t="inlineStr"/>
      <c r="Z70" s="38" t="n">
        <v>6349.1</v>
      </c>
      <c r="AA70" s="38" t="n">
        <v>20296.13</v>
      </c>
      <c r="AB70" s="38" t="n">
        <v>39252.91</v>
      </c>
      <c r="AC70" s="38" t="n">
        <v>115562.48</v>
      </c>
      <c r="AD70" s="38" t="n"/>
      <c r="AE70" s="38" t="n">
        <v>97</v>
      </c>
      <c r="AF70" s="38" t="n">
        <v>6304.33</v>
      </c>
      <c r="AG70" s="38" t="n">
        <v>7989.620000000003</v>
      </c>
      <c r="AH70" s="38" t="inlineStr"/>
      <c r="AI70" s="38" t="n">
        <v>618.12</v>
      </c>
      <c r="AJ70" s="38" t="inlineStr"/>
      <c r="AK70" s="38" t="n">
        <v>1708.53</v>
      </c>
    </row>
    <row r="71">
      <c r="A71" t="inlineStr">
        <is>
          <t>5456 - WOE - FOREMAN/SUPERVISION LAB.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inlineStr"/>
      <c r="M71" s="38" t="inlineStr"/>
      <c r="N71" s="38" t="inlineStr"/>
      <c r="O71" s="38" t="n">
        <v>0</v>
      </c>
      <c r="P71" s="38" t="n"/>
      <c r="Q71" s="38" t="inlineStr"/>
      <c r="R71" s="38" t="inlineStr"/>
      <c r="S71" s="38" t="inlineStr"/>
      <c r="T71" s="38" t="inlineStr"/>
      <c r="U71" s="38" t="inlineStr"/>
      <c r="V71" s="38" t="inlineStr"/>
      <c r="W71" s="38" t="inlineStr"/>
      <c r="X71" s="38" t="inlineStr"/>
      <c r="Y71" s="38" t="inlineStr"/>
      <c r="Z71" s="38" t="n">
        <v>1421</v>
      </c>
      <c r="AA71" s="38" t="inlineStr"/>
      <c r="AB71" s="38" t="inlineStr"/>
      <c r="AC71" s="38" t="n">
        <v>1421</v>
      </c>
      <c r="AD71" s="38" t="n"/>
      <c r="AE71" s="38" t="inlineStr"/>
      <c r="AF71" s="38" t="inlineStr"/>
      <c r="AG71" s="38" t="inlineStr"/>
      <c r="AH71" s="38" t="inlineStr"/>
      <c r="AI71" s="38" t="inlineStr"/>
      <c r="AJ71" s="38" t="inlineStr"/>
      <c r="AK71" s="38" t="inlineStr"/>
    </row>
    <row r="72">
      <c r="A72" t="inlineStr">
        <is>
          <t>5457 - WOE - HAULING &amp; TRANSPORTATION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inlineStr"/>
      <c r="N72" s="38" t="inlineStr"/>
      <c r="O72" s="38" t="n">
        <v>0</v>
      </c>
      <c r="P72" s="38" t="n"/>
      <c r="Q72" s="38" t="inlineStr"/>
      <c r="R72" s="38" t="inlineStr"/>
      <c r="S72" s="38" t="inlineStr"/>
      <c r="T72" s="38" t="inlineStr"/>
      <c r="U72" s="38" t="n">
        <v>4297.23</v>
      </c>
      <c r="V72" s="38" t="n">
        <v>2473.48</v>
      </c>
      <c r="W72" s="38" t="n">
        <v>166.93</v>
      </c>
      <c r="X72" s="38" t="n">
        <v>3222.92</v>
      </c>
      <c r="Y72" s="38" t="inlineStr"/>
      <c r="Z72" s="38" t="n">
        <v>3646.1</v>
      </c>
      <c r="AA72" s="38" t="n">
        <v>1164</v>
      </c>
      <c r="AB72" s="38" t="n">
        <v>2558.52</v>
      </c>
      <c r="AC72" s="38" t="n">
        <v>17529.18</v>
      </c>
      <c r="AD72" s="38" t="n"/>
      <c r="AE72" s="38" t="n">
        <v>873</v>
      </c>
      <c r="AF72" s="38" t="n">
        <v>2001.55</v>
      </c>
      <c r="AG72" s="38" t="n">
        <v>8921.85</v>
      </c>
      <c r="AH72" s="38" t="inlineStr"/>
      <c r="AI72" s="38" t="n">
        <v>1869.71</v>
      </c>
      <c r="AJ72" s="38" t="inlineStr"/>
      <c r="AK72" s="38" t="n">
        <v>582</v>
      </c>
    </row>
    <row r="73">
      <c r="A73" t="inlineStr">
        <is>
          <t>5458 - WOE - INSURANCE &amp; BONDS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inlineStr"/>
      <c r="AF73" s="38" t="inlineStr"/>
      <c r="AG73" s="38" t="inlineStr"/>
      <c r="AH73" s="38" t="inlineStr"/>
      <c r="AI73" s="38" t="inlineStr"/>
      <c r="AJ73" s="38" t="inlineStr"/>
      <c r="AK73" s="38" t="inlineStr"/>
    </row>
    <row r="74">
      <c r="A74" t="inlineStr">
        <is>
          <t>5459 - WOE - LOCATION &amp; ROADS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inlineStr"/>
      <c r="N74" s="38" t="inlineStr"/>
      <c r="O74" s="38" t="n">
        <v>0</v>
      </c>
      <c r="P74" s="38" t="n"/>
      <c r="Q74" s="38" t="inlineStr"/>
      <c r="R74" s="38" t="inlineStr"/>
      <c r="S74" s="38" t="inlineStr"/>
      <c r="T74" s="38" t="inlineStr"/>
      <c r="U74" s="38" t="inlineStr"/>
      <c r="V74" s="38" t="inlineStr"/>
      <c r="W74" s="38" t="inlineStr"/>
      <c r="X74" s="38" t="inlineStr"/>
      <c r="Y74" s="38" t="inlineStr"/>
      <c r="Z74" s="38" t="inlineStr"/>
      <c r="AA74" s="38" t="inlineStr"/>
      <c r="AB74" s="38" t="inlineStr"/>
      <c r="AC74" s="38" t="n">
        <v>0</v>
      </c>
      <c r="AD74" s="38" t="n"/>
      <c r="AE74" s="38" t="inlineStr"/>
      <c r="AF74" s="38" t="inlineStr"/>
      <c r="AG74" s="38" t="inlineStr"/>
      <c r="AH74" s="38" t="inlineStr"/>
      <c r="AI74" s="38" t="inlineStr"/>
      <c r="AJ74" s="38" t="inlineStr"/>
      <c r="AK74" s="38" t="inlineStr"/>
    </row>
    <row r="75">
      <c r="A75" t="inlineStr">
        <is>
          <t>5460 - WOE - NON-OPERATED WELLS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n">
        <v>1151.93</v>
      </c>
      <c r="R75" s="38" t="n">
        <v>173.57</v>
      </c>
      <c r="S75" s="38" t="n">
        <v>262.4199999999999</v>
      </c>
      <c r="T75" s="38" t="n">
        <v>301.3699999999999</v>
      </c>
      <c r="U75" s="38" t="n">
        <v>2.95</v>
      </c>
      <c r="V75" s="38" t="n">
        <v>-0.09</v>
      </c>
      <c r="W75" s="38" t="n">
        <v>3124.67</v>
      </c>
      <c r="X75" s="38" t="n">
        <v>1080.57</v>
      </c>
      <c r="Y75" s="38" t="n">
        <v>216.6</v>
      </c>
      <c r="Z75" s="38" t="n">
        <v>9.809999999999999</v>
      </c>
      <c r="AA75" s="38" t="n">
        <v>945.2699999999999</v>
      </c>
      <c r="AB75" s="38" t="n">
        <v>1468.489999999999</v>
      </c>
      <c r="AC75" s="38" t="n">
        <v>8737.559999999998</v>
      </c>
      <c r="AD75" s="38" t="n"/>
      <c r="AE75" s="38" t="n">
        <v>524.6200000000002</v>
      </c>
      <c r="AF75" s="38" t="n">
        <v>571.1</v>
      </c>
      <c r="AG75" s="38" t="n">
        <v>2754.469999999999</v>
      </c>
      <c r="AH75" s="38" t="n">
        <v>662.0500000000002</v>
      </c>
      <c r="AI75" s="38" t="n">
        <v>1113.04</v>
      </c>
      <c r="AJ75" s="38" t="n">
        <v>8577.16</v>
      </c>
      <c r="AK75" s="38" t="n">
        <v>48.09</v>
      </c>
    </row>
    <row r="76">
      <c r="A76" t="inlineStr">
        <is>
          <t>5461 - WOE - PUMPING / GAUGER LABOR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inlineStr"/>
      <c r="AG76" s="38" t="inlineStr"/>
      <c r="AH76" s="38" t="inlineStr"/>
      <c r="AI76" s="38" t="inlineStr"/>
      <c r="AJ76" s="38" t="inlineStr"/>
      <c r="AK76" s="38" t="inlineStr"/>
    </row>
    <row r="77">
      <c r="A77" t="inlineStr">
        <is>
          <t>5462 - WOE - REPAIRS AND REPLACEMENT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n">
        <v>1367.67</v>
      </c>
      <c r="V77" s="38" t="n">
        <v>11885.12000000001</v>
      </c>
      <c r="W77" s="38" t="n">
        <v>510.34</v>
      </c>
      <c r="X77" s="38" t="n">
        <v>3265.179999999999</v>
      </c>
      <c r="Y77" s="38" t="n">
        <v>492.67</v>
      </c>
      <c r="Z77" s="38" t="n">
        <v>2310.76</v>
      </c>
      <c r="AA77" s="38" t="inlineStr"/>
      <c r="AB77" s="38" t="n">
        <v>14167.35</v>
      </c>
      <c r="AC77" s="38" t="n">
        <v>33999.09</v>
      </c>
      <c r="AD77" s="38" t="n"/>
      <c r="AE77" s="38" t="inlineStr"/>
      <c r="AF77" s="38" t="n">
        <v>7404.3</v>
      </c>
      <c r="AG77" s="38" t="n">
        <v>11530.82</v>
      </c>
      <c r="AH77" s="38" t="inlineStr"/>
      <c r="AI77" s="38" t="n">
        <v>9350.41</v>
      </c>
      <c r="AJ77" s="38" t="n">
        <v>5563.26</v>
      </c>
      <c r="AK77" s="38" t="n">
        <v>37971.7</v>
      </c>
    </row>
    <row r="78">
      <c r="A78" t="inlineStr">
        <is>
          <t>5463 - WOE - SAFETY ENVIR &amp; REGUL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n">
        <v>231.28</v>
      </c>
      <c r="AK78" s="38" t="inlineStr"/>
    </row>
    <row r="79">
      <c r="A79" t="inlineStr">
        <is>
          <t>5464 - WOE - SUPPLIES &amp; MISCELLANEOUS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inlineStr"/>
      <c r="T79" s="38" t="inlineStr"/>
      <c r="U79" s="38" t="n">
        <v>1332.54</v>
      </c>
      <c r="V79" s="38" t="inlineStr"/>
      <c r="W79" s="38" t="n">
        <v>89.95</v>
      </c>
      <c r="X79" s="38" t="n">
        <v>38.6</v>
      </c>
      <c r="Y79" s="38" t="inlineStr"/>
      <c r="Z79" s="38" t="inlineStr"/>
      <c r="AA79" s="38" t="inlineStr"/>
      <c r="AB79" s="38" t="n">
        <v>3454.56</v>
      </c>
      <c r="AC79" s="38" t="n">
        <v>4915.65</v>
      </c>
      <c r="AD79" s="38" t="n"/>
      <c r="AE79" s="38" t="inlineStr"/>
      <c r="AF79" s="38" t="inlineStr"/>
      <c r="AG79" s="38" t="inlineStr"/>
      <c r="AH79" s="38" t="inlineStr"/>
      <c r="AI79" s="38" t="inlineStr"/>
      <c r="AJ79" s="38" t="inlineStr"/>
      <c r="AK79" s="38" t="inlineStr"/>
    </row>
    <row r="80">
      <c r="A80" t="inlineStr">
        <is>
          <t>5465 - WOE - TEMPORARY ABANDONMENT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inlineStr"/>
      <c r="T80" s="38" t="inlineStr"/>
      <c r="U80" s="38" t="inlineStr"/>
      <c r="V80" s="38" t="inlineStr"/>
      <c r="W80" s="38" t="inlineStr"/>
      <c r="X80" s="38" t="inlineStr"/>
      <c r="Y80" s="38" t="inlineStr"/>
      <c r="Z80" s="38" t="n">
        <v>11981.58</v>
      </c>
      <c r="AA80" s="38" t="inlineStr"/>
      <c r="AB80" s="38" t="inlineStr"/>
      <c r="AC80" s="38" t="n">
        <v>11981.58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</row>
    <row r="81">
      <c r="A81" t="inlineStr">
        <is>
          <t>5466 - WOE - TUBULAR INSPECTION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inlineStr"/>
      <c r="N81" s="38" t="inlineStr"/>
      <c r="O81" s="38" t="n">
        <v>0</v>
      </c>
      <c r="P81" s="38" t="n"/>
      <c r="Q81" s="38" t="inlineStr"/>
      <c r="R81" s="38" t="inlineStr"/>
      <c r="S81" s="38" t="inlineStr"/>
      <c r="T81" s="38" t="inlineStr"/>
      <c r="U81" s="38" t="n">
        <v>1889</v>
      </c>
      <c r="V81" s="38" t="n">
        <v>1828.33</v>
      </c>
      <c r="W81" s="38" t="inlineStr"/>
      <c r="X81" s="38" t="n">
        <v>3650.02</v>
      </c>
      <c r="Y81" s="38" t="inlineStr"/>
      <c r="Z81" s="38" t="n">
        <v>5064.65</v>
      </c>
      <c r="AA81" s="38" t="inlineStr"/>
      <c r="AB81" s="38" t="inlineStr"/>
      <c r="AC81" s="38" t="n">
        <v>12432</v>
      </c>
      <c r="AD81" s="38" t="n"/>
      <c r="AE81" s="38" t="inlineStr"/>
      <c r="AF81" s="38" t="n">
        <v>5097.73</v>
      </c>
      <c r="AG81" s="38" t="n">
        <v>4357.41</v>
      </c>
      <c r="AH81" s="38" t="inlineStr"/>
      <c r="AI81" s="38" t="n">
        <v>2392.5</v>
      </c>
      <c r="AJ81" s="38" t="n">
        <v>1480.12</v>
      </c>
      <c r="AK81" s="38" t="n">
        <v>6177</v>
      </c>
    </row>
    <row r="82">
      <c r="A82" t="inlineStr">
        <is>
          <t>5467 - WOE - VACUUM TRUCK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n">
        <v>2251.13</v>
      </c>
      <c r="V82" s="38" t="n">
        <v>5659.640000000001</v>
      </c>
      <c r="W82" s="38" t="n">
        <v>354.73</v>
      </c>
      <c r="X82" s="38" t="n">
        <v>6864.280000000001</v>
      </c>
      <c r="Y82" s="38" t="inlineStr"/>
      <c r="Z82" s="38" t="n">
        <v>4449.690000000001</v>
      </c>
      <c r="AA82" s="38" t="n">
        <v>2115.57</v>
      </c>
      <c r="AB82" s="38" t="n">
        <v>762.42</v>
      </c>
      <c r="AC82" s="38" t="n">
        <v>22457.46</v>
      </c>
      <c r="AD82" s="38" t="n"/>
      <c r="AE82" s="38" t="n">
        <v>659.35</v>
      </c>
      <c r="AF82" s="38" t="n">
        <v>554.51</v>
      </c>
      <c r="AG82" s="38" t="inlineStr"/>
      <c r="AH82" s="38" t="inlineStr"/>
      <c r="AI82" s="38" t="inlineStr"/>
      <c r="AJ82" s="38" t="inlineStr"/>
      <c r="AK82" s="38" t="inlineStr"/>
    </row>
    <row r="83">
      <c r="A83" t="inlineStr">
        <is>
          <t>5468 - WOE - WIRELINE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inlineStr"/>
      <c r="T83" s="38" t="inlineStr"/>
      <c r="U83" s="38" t="inlineStr"/>
      <c r="V83" s="38" t="n">
        <v>4465.29</v>
      </c>
      <c r="W83" s="38" t="inlineStr"/>
      <c r="X83" s="38" t="inlineStr"/>
      <c r="Y83" s="38" t="inlineStr"/>
      <c r="Z83" s="38" t="inlineStr"/>
      <c r="AA83" s="38" t="inlineStr"/>
      <c r="AB83" s="38" t="inlineStr"/>
      <c r="AC83" s="38" t="n">
        <v>4465.29</v>
      </c>
      <c r="AD83" s="38" t="n"/>
      <c r="AE83" s="38" t="inlineStr"/>
      <c r="AF83" s="38" t="inlineStr"/>
      <c r="AG83" s="38" t="inlineStr"/>
      <c r="AH83" s="38" t="inlineStr"/>
      <c r="AI83" s="38" t="n">
        <v>5841.12</v>
      </c>
      <c r="AJ83" s="38" t="inlineStr"/>
      <c r="AK83" s="38" t="inlineStr"/>
    </row>
    <row r="84">
      <c r="A84" t="inlineStr">
        <is>
          <t>5469 - WOE - ADMINISTRATIVE OVERHEAD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inlineStr"/>
      <c r="N84" s="38" t="inlineStr"/>
      <c r="O84" s="38" t="n">
        <v>0</v>
      </c>
      <c r="P84" s="38" t="n"/>
      <c r="Q84" s="38" t="inlineStr"/>
      <c r="R84" s="38" t="inlineStr"/>
      <c r="S84" s="38" t="inlineStr"/>
      <c r="T84" s="38" t="inlineStr"/>
      <c r="U84" s="38" t="inlineStr"/>
      <c r="V84" s="38" t="inlineStr"/>
      <c r="W84" s="38" t="inlineStr"/>
      <c r="X84" s="38" t="inlineStr"/>
      <c r="Y84" s="38" t="inlineStr"/>
      <c r="Z84" s="38" t="inlineStr"/>
      <c r="AA84" s="38" t="inlineStr"/>
      <c r="AB84" s="38" t="inlineStr"/>
      <c r="AC84" s="38" t="n">
        <v>0</v>
      </c>
      <c r="AD84" s="38" t="n"/>
      <c r="AE84" s="38" t="inlineStr"/>
      <c r="AF84" s="38" t="inlineStr"/>
      <c r="AG84" s="38" t="inlineStr"/>
      <c r="AH84" s="38" t="inlineStr"/>
      <c r="AI84" s="38" t="inlineStr"/>
      <c r="AJ84" s="38" t="inlineStr"/>
      <c r="AK84" s="38" t="inlineStr"/>
    </row>
    <row r="85">
      <c r="A85" t="inlineStr">
        <is>
          <t>5470 - WOE - WORKOVER RIG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n">
        <v>27150</v>
      </c>
      <c r="T85" s="38" t="inlineStr"/>
      <c r="U85" s="38" t="n">
        <v>12860.1</v>
      </c>
      <c r="V85" s="38" t="n">
        <v>10111.95</v>
      </c>
      <c r="W85" s="38" t="inlineStr"/>
      <c r="X85" s="38" t="n">
        <v>26642.83</v>
      </c>
      <c r="Y85" s="38" t="inlineStr"/>
      <c r="Z85" s="38" t="n">
        <v>50523.8</v>
      </c>
      <c r="AA85" s="38" t="n">
        <v>44650</v>
      </c>
      <c r="AB85" s="38" t="n">
        <v>35260.26</v>
      </c>
      <c r="AC85" s="38" t="n">
        <v>207198.94</v>
      </c>
      <c r="AD85" s="38" t="n"/>
      <c r="AE85" s="38" t="n">
        <v>5175</v>
      </c>
      <c r="AF85" s="38" t="n">
        <v>11892.09</v>
      </c>
      <c r="AG85" s="38" t="n">
        <v>41708.74000000001</v>
      </c>
      <c r="AH85" s="38" t="inlineStr"/>
      <c r="AI85" s="38" t="n">
        <v>30036.93</v>
      </c>
      <c r="AJ85" s="38" t="n">
        <v>7630.24</v>
      </c>
      <c r="AK85" s="38" t="n">
        <v>46280.65</v>
      </c>
    </row>
    <row r="86">
      <c r="A86" t="inlineStr">
        <is>
          <t>Total Workover Expense</t>
        </is>
      </c>
      <c r="C86" s="38" t="n">
        <v>0</v>
      </c>
      <c r="D86" s="38" t="n">
        <v>0</v>
      </c>
      <c r="E86" s="38" t="n">
        <v>0</v>
      </c>
      <c r="F86" s="38" t="n">
        <v>0</v>
      </c>
      <c r="G86" s="38" t="n">
        <v>0</v>
      </c>
      <c r="H86" s="38" t="n">
        <v>0</v>
      </c>
      <c r="I86" s="38" t="n">
        <v>0</v>
      </c>
      <c r="J86" s="38" t="n">
        <v>0</v>
      </c>
      <c r="K86" s="38" t="n">
        <v>0</v>
      </c>
      <c r="L86" s="38" t="n">
        <v>0</v>
      </c>
      <c r="M86" s="38" t="n">
        <v>0</v>
      </c>
      <c r="N86" s="38" t="n">
        <v>0</v>
      </c>
      <c r="O86" s="38" t="n">
        <v>0</v>
      </c>
      <c r="P86" s="38" t="n"/>
      <c r="Q86" s="38" t="n">
        <v>1151.93</v>
      </c>
      <c r="R86" s="38" t="n">
        <v>773.5999999999999</v>
      </c>
      <c r="S86" s="38" t="n">
        <v>28093.4</v>
      </c>
      <c r="T86" s="38" t="n">
        <v>901.3599999999999</v>
      </c>
      <c r="U86" s="38" t="n">
        <v>48728.21999999999</v>
      </c>
      <c r="V86" s="38" t="n">
        <v>40239.34000000001</v>
      </c>
      <c r="W86" s="38" t="n">
        <v>12761.2</v>
      </c>
      <c r="X86" s="38" t="n">
        <v>99175.71999999999</v>
      </c>
      <c r="Y86" s="38" t="n">
        <v>709.27</v>
      </c>
      <c r="Z86" s="38" t="n">
        <v>127350.04</v>
      </c>
      <c r="AA86" s="38" t="n">
        <v>133178.56</v>
      </c>
      <c r="AB86" s="38" t="n">
        <v>161474.61</v>
      </c>
      <c r="AC86" s="38" t="n">
        <v>654537.25</v>
      </c>
      <c r="AD86" s="38" t="n"/>
      <c r="AE86" s="38" t="n">
        <v>15486.77</v>
      </c>
      <c r="AF86" s="38" t="n">
        <v>39886.97</v>
      </c>
      <c r="AG86" s="38" t="n">
        <v>158957.29</v>
      </c>
      <c r="AH86" s="38" t="n">
        <v>2217.49</v>
      </c>
      <c r="AI86" s="38" t="n">
        <v>68751.94</v>
      </c>
      <c r="AJ86" s="38" t="n">
        <v>34431.34</v>
      </c>
      <c r="AK86" s="38" t="n">
        <v>130515.94</v>
      </c>
    </row>
    <row r="87"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</row>
    <row r="88">
      <c r="A88" t="inlineStr">
        <is>
          <t>Well Profitablity</t>
        </is>
      </c>
      <c r="C88" s="7" t="n">
        <v>2.03</v>
      </c>
      <c r="D88" s="7" t="n">
        <v>0</v>
      </c>
      <c r="E88" s="7" t="n">
        <v>-0.06</v>
      </c>
      <c r="F88" s="7" t="n">
        <v>-28.89</v>
      </c>
      <c r="G88" s="7" t="n">
        <v>2.16</v>
      </c>
      <c r="H88" s="7" t="n">
        <v>-0.5100000000000001</v>
      </c>
      <c r="I88" s="7" t="n">
        <v>-20.59</v>
      </c>
      <c r="J88" s="7" t="n">
        <v>-20.96</v>
      </c>
      <c r="K88" s="7" t="n">
        <v>-4658.59</v>
      </c>
      <c r="L88" s="7" t="n">
        <v>-27404.30000000001</v>
      </c>
      <c r="M88" s="7" t="n">
        <v>-19280.45999999999</v>
      </c>
      <c r="N88" s="7" t="n">
        <v>347791.6200000001</v>
      </c>
      <c r="O88" s="7" t="n">
        <v>296381.4500000001</v>
      </c>
      <c r="P88" s="7" t="n"/>
      <c r="Q88" s="7" t="n">
        <v>654145.2299999997</v>
      </c>
      <c r="R88" s="7" t="n">
        <v>416569.89</v>
      </c>
      <c r="S88" s="7" t="n">
        <v>281664.34</v>
      </c>
      <c r="T88" s="7" t="n">
        <v>210440.2900000002</v>
      </c>
      <c r="U88" s="7" t="n">
        <v>165652.4</v>
      </c>
      <c r="V88" s="7" t="n">
        <v>368125.47</v>
      </c>
      <c r="W88" s="7" t="n">
        <v>6712243.169999999</v>
      </c>
      <c r="X88" s="7" t="n">
        <v>7194617.719999996</v>
      </c>
      <c r="Y88" s="7" t="n">
        <v>9796259.940000001</v>
      </c>
      <c r="Z88" s="7" t="n">
        <v>12825235.23</v>
      </c>
      <c r="AA88" s="7" t="n">
        <v>8591244.129999997</v>
      </c>
      <c r="AB88" s="7" t="n">
        <v>6818574.250000003</v>
      </c>
      <c r="AC88" s="7" t="n">
        <v>54034772.05999999</v>
      </c>
      <c r="AD88" s="7" t="n"/>
      <c r="AE88" s="7" t="n">
        <v>9454439.520000003</v>
      </c>
      <c r="AF88" s="7" t="n">
        <v>9192542.84</v>
      </c>
      <c r="AG88" s="7" t="n">
        <v>15630983.16</v>
      </c>
      <c r="AH88" s="7" t="n">
        <v>18642022.02</v>
      </c>
      <c r="AI88" s="7" t="n">
        <v>17705049.58</v>
      </c>
      <c r="AJ88" s="7" t="n">
        <v>15876033.01</v>
      </c>
      <c r="AK88" s="7" t="n">
        <v>18317973.68999998</v>
      </c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</row>
    <row r="90">
      <c r="A90" s="2" t="inlineStr">
        <is>
          <t>REVENUE WITH DEDUCTS</t>
        </is>
      </c>
      <c r="C90" s="38" t="n"/>
      <c r="D90" s="38" t="n"/>
      <c r="E90" s="38" t="n"/>
      <c r="F90" s="38" t="n"/>
      <c r="G90" s="38" t="n"/>
      <c r="H90" s="38" t="n"/>
      <c r="I90" s="38" t="n"/>
      <c r="J90" s="38" t="n"/>
      <c r="K90" s="38" t="n"/>
      <c r="L90" s="38" t="n"/>
      <c r="M90" s="38" t="n"/>
      <c r="N90" s="38" t="n"/>
      <c r="O90" s="38" t="n"/>
      <c r="P90" s="38" t="n"/>
      <c r="Q90" s="38" t="n"/>
      <c r="R90" s="38" t="n"/>
      <c r="S90" s="38" t="n"/>
      <c r="T90" s="38" t="n"/>
      <c r="U90" s="38" t="n"/>
      <c r="V90" s="38" t="n"/>
      <c r="W90" s="38" t="n"/>
      <c r="X90" s="38" t="n"/>
      <c r="Y90" s="38" t="n"/>
      <c r="Z90" s="38" t="n"/>
      <c r="AA90" s="38" t="n"/>
      <c r="AB90" s="38" t="n"/>
      <c r="AC90" s="38" t="n"/>
      <c r="AD90" s="38" t="n"/>
      <c r="AE90" s="38" t="n"/>
      <c r="AF90" s="38" t="n"/>
      <c r="AG90" s="38" t="n"/>
      <c r="AH90" s="38" t="n"/>
      <c r="AI90" s="38" t="n"/>
      <c r="AJ90" s="38" t="n"/>
      <c r="AK90" s="38" t="n"/>
    </row>
    <row r="91">
      <c r="A91" s="1" t="inlineStr">
        <is>
          <t>OIL</t>
        </is>
      </c>
      <c r="C91" s="39">
        <f>IFERROR(C9-C26,C9)</f>
        <v/>
      </c>
      <c r="D91" s="39">
        <f>IFERROR(D9-D26,D9)</f>
        <v/>
      </c>
      <c r="E91" s="39">
        <f>IFERROR(E9-E26,E9)</f>
        <v/>
      </c>
      <c r="F91" s="39">
        <f>IFERROR(F9-F26,F9)</f>
        <v/>
      </c>
      <c r="G91" s="39">
        <f>IFERROR(G9-G26,G9)</f>
        <v/>
      </c>
      <c r="H91" s="39">
        <f>IFERROR(H9-H26,H9)</f>
        <v/>
      </c>
      <c r="I91" s="39">
        <f>IFERROR(I9-I26,I9)</f>
        <v/>
      </c>
      <c r="J91" s="39">
        <f>IFERROR(J9-J26,J9)</f>
        <v/>
      </c>
      <c r="K91" s="39">
        <f>IFERROR(K9-K26,K9)</f>
        <v/>
      </c>
      <c r="L91" s="39">
        <f>IFERROR(L9-L26,L9)</f>
        <v/>
      </c>
      <c r="M91" s="39">
        <f>IFERROR(M9-M26,M9)</f>
        <v/>
      </c>
      <c r="N91" s="39">
        <f>IFERROR(N9-N26,N9)</f>
        <v/>
      </c>
      <c r="O91" s="38" t="n"/>
      <c r="P91" s="38" t="n"/>
      <c r="Q91" s="39">
        <f>IFERROR(Q9-Q26,Q9)</f>
        <v/>
      </c>
      <c r="R91" s="39">
        <f>IFERROR(R9-R26,R9)</f>
        <v/>
      </c>
      <c r="S91" s="39">
        <f>IFERROR(S9-S26,S9)</f>
        <v/>
      </c>
      <c r="T91" s="39">
        <f>IFERROR(T9-T26,T9)</f>
        <v/>
      </c>
      <c r="U91" s="39">
        <f>IFERROR(U9-U26,U9)</f>
        <v/>
      </c>
      <c r="V91" s="39">
        <f>IFERROR(V9-V26,V9)</f>
        <v/>
      </c>
      <c r="W91" s="39">
        <f>IFERROR(W9-W26,W9)</f>
        <v/>
      </c>
      <c r="X91" s="39">
        <f>IFERROR(X9-X26,X9)</f>
        <v/>
      </c>
      <c r="Y91" s="39">
        <f>IFERROR(Y9-Y26,Y9)</f>
        <v/>
      </c>
      <c r="Z91" s="39">
        <f>IFERROR(Z9-Z26,Z9)</f>
        <v/>
      </c>
      <c r="AA91" s="39">
        <f>IFERROR(AA9-AA26,AA9)</f>
        <v/>
      </c>
      <c r="AB91" s="39">
        <f>IFERROR(AB9-AB26,AB9)</f>
        <v/>
      </c>
      <c r="AC91" s="39" t="n"/>
      <c r="AD91" s="39" t="n"/>
      <c r="AE91" s="39">
        <f>IFERROR(AE9-AE26,AE9)</f>
        <v/>
      </c>
      <c r="AF91" s="39">
        <f>IFERROR(AF9-AF26,AF9)</f>
        <v/>
      </c>
      <c r="AG91" s="39">
        <f>IFERROR(AG9-AG26,AG9)</f>
        <v/>
      </c>
      <c r="AH91" s="39">
        <f>IFERROR(AH9-AH26,AH9)</f>
        <v/>
      </c>
      <c r="AI91" s="39">
        <f>IFERROR(AI9-AI26,AI9)</f>
        <v/>
      </c>
      <c r="AJ91" s="39">
        <f>IFERROR(AJ9-AJ26,AJ9)</f>
        <v/>
      </c>
      <c r="AK91" s="39">
        <f>IFERROR(AK9-AK26,AK9)</f>
        <v/>
      </c>
    </row>
    <row r="92">
      <c r="A92" s="1" t="inlineStr">
        <is>
          <t>GAS</t>
        </is>
      </c>
      <c r="C92" s="39">
        <f>IFERROR(C10-C27,C10)</f>
        <v/>
      </c>
      <c r="D92" s="39">
        <f>IFERROR(D10-D27,D10)</f>
        <v/>
      </c>
      <c r="E92" s="39">
        <f>IFERROR(E10-E27,E10)</f>
        <v/>
      </c>
      <c r="F92" s="39">
        <f>IFERROR(F10-F27,F10)</f>
        <v/>
      </c>
      <c r="G92" s="39">
        <f>IFERROR(G10-G27,G10)</f>
        <v/>
      </c>
      <c r="H92" s="39">
        <f>IFERROR(H10-H27,H10)</f>
        <v/>
      </c>
      <c r="I92" s="39">
        <f>IFERROR(I10-I27,I10)</f>
        <v/>
      </c>
      <c r="J92" s="39">
        <f>IFERROR(J10-J27,J10)</f>
        <v/>
      </c>
      <c r="K92" s="39">
        <f>IFERROR(K10-K27,K10)</f>
        <v/>
      </c>
      <c r="L92" s="39">
        <f>IFERROR(L10-L27,L10)</f>
        <v/>
      </c>
      <c r="M92" s="39">
        <f>IFERROR(M10-M27,M10)</f>
        <v/>
      </c>
      <c r="N92" s="39">
        <f>IFERROR(N10-N27,N10)</f>
        <v/>
      </c>
      <c r="O92" s="38" t="n"/>
      <c r="P92" s="38" t="n"/>
      <c r="Q92" s="39">
        <f>IFERROR(Q10-Q27,Q10)</f>
        <v/>
      </c>
      <c r="R92" s="39">
        <f>IFERROR(R10-R27,R10)</f>
        <v/>
      </c>
      <c r="S92" s="39">
        <f>IFERROR(S10-S27,S10)</f>
        <v/>
      </c>
      <c r="T92" s="39">
        <f>IFERROR(T10-T27,T10)</f>
        <v/>
      </c>
      <c r="U92" s="39">
        <f>IFERROR(U10-U27,U10)</f>
        <v/>
      </c>
      <c r="V92" s="39">
        <f>IFERROR(V10-V27,V10)</f>
        <v/>
      </c>
      <c r="W92" s="39">
        <f>IFERROR(W10-W27,W10)</f>
        <v/>
      </c>
      <c r="X92" s="39">
        <f>IFERROR(X10-X27,X10)</f>
        <v/>
      </c>
      <c r="Y92" s="39">
        <f>IFERROR(Y10-Y27,Y10)</f>
        <v/>
      </c>
      <c r="Z92" s="39">
        <f>IFERROR(Z10-Z27,Z10)</f>
        <v/>
      </c>
      <c r="AA92" s="39">
        <f>IFERROR(AA10-AA27,AA10)</f>
        <v/>
      </c>
      <c r="AB92" s="39">
        <f>IFERROR(AB10-AB27,AB10)</f>
        <v/>
      </c>
      <c r="AC92" s="39" t="n"/>
      <c r="AD92" s="39" t="n"/>
      <c r="AE92" s="39">
        <f>IFERROR(AE10-AE27,AE10)</f>
        <v/>
      </c>
      <c r="AF92" s="39">
        <f>IFERROR(AF10-AF27,AF10)</f>
        <v/>
      </c>
      <c r="AG92" s="39">
        <f>IFERROR(AG10-AG27,AG10)</f>
        <v/>
      </c>
      <c r="AH92" s="39">
        <f>IFERROR(AH10-AH27,AH10)</f>
        <v/>
      </c>
      <c r="AI92" s="39">
        <f>IFERROR(AI10-AI27,AI10)</f>
        <v/>
      </c>
      <c r="AJ92" s="39">
        <f>IFERROR(AJ10-AJ27,AJ10)</f>
        <v/>
      </c>
      <c r="AK92" s="38" t="n"/>
    </row>
    <row r="93">
      <c r="A93" s="1" t="inlineStr">
        <is>
          <t>NGL</t>
        </is>
      </c>
      <c r="C93" s="39">
        <f>IFERROR(C11-C28,C11)</f>
        <v/>
      </c>
      <c r="D93" s="39">
        <f>IFERROR(D11-D28,D11)</f>
        <v/>
      </c>
      <c r="E93" s="39">
        <f>IFERROR(E11-E28,E11)</f>
        <v/>
      </c>
      <c r="F93" s="39">
        <f>IFERROR(F11-F28,F11)</f>
        <v/>
      </c>
      <c r="G93" s="39">
        <f>IFERROR(G11-G28,G11)</f>
        <v/>
      </c>
      <c r="H93" s="39">
        <f>IFERROR(H11-H28,H11)</f>
        <v/>
      </c>
      <c r="I93" s="39">
        <f>IFERROR(I11-I28,I11)</f>
        <v/>
      </c>
      <c r="J93" s="39">
        <f>IFERROR(J11-J28,J11)</f>
        <v/>
      </c>
      <c r="K93" s="39">
        <f>IFERROR(K11-K28,K11)</f>
        <v/>
      </c>
      <c r="L93" s="39">
        <f>IFERROR(L11-L28,L11)</f>
        <v/>
      </c>
      <c r="M93" s="39">
        <f>IFERROR(M11-M28,M11)</f>
        <v/>
      </c>
      <c r="N93" s="39">
        <f>IFERROR(N11-N28,N11)</f>
        <v/>
      </c>
      <c r="O93" s="38" t="n"/>
      <c r="P93" s="38" t="n"/>
      <c r="Q93" s="39">
        <f>IFERROR(Q11-Q28,Q11)</f>
        <v/>
      </c>
      <c r="R93" s="39">
        <f>IFERROR(R11-R28,R11)</f>
        <v/>
      </c>
      <c r="S93" s="39">
        <f>IFERROR(S11-S28,S11)</f>
        <v/>
      </c>
      <c r="T93" s="39">
        <f>IFERROR(T11-T28,T11)</f>
        <v/>
      </c>
      <c r="U93" s="39">
        <f>IFERROR(U11-U28,U11)</f>
        <v/>
      </c>
      <c r="V93" s="39">
        <f>IFERROR(V11-V28,V11)</f>
        <v/>
      </c>
      <c r="W93" s="39">
        <f>IFERROR(W11-W28,W11)</f>
        <v/>
      </c>
      <c r="X93" s="39">
        <f>IFERROR(X11-X28,X11)</f>
        <v/>
      </c>
      <c r="Y93" s="39">
        <f>IFERROR(Y11-Y28,Y11)</f>
        <v/>
      </c>
      <c r="Z93" s="39">
        <f>IFERROR(Z11-Z28,Z11)</f>
        <v/>
      </c>
      <c r="AA93" s="39">
        <f>IFERROR(AA11-AA28,AA11)</f>
        <v/>
      </c>
      <c r="AB93" s="39">
        <f>IFERROR(AB11-AB28,AB11)</f>
        <v/>
      </c>
      <c r="AC93" s="39" t="n"/>
      <c r="AD93" s="39" t="n"/>
      <c r="AE93" s="39">
        <f>IFERROR(AE11-AE28,AE11)</f>
        <v/>
      </c>
      <c r="AF93" s="39">
        <f>IFERROR(AF11-AF28,AF11)</f>
        <v/>
      </c>
      <c r="AG93" s="39">
        <f>IFERROR(AG11-AG28,AG11)</f>
        <v/>
      </c>
      <c r="AH93" s="39">
        <f>IFERROR(AH11-AH28,AH11)</f>
        <v/>
      </c>
      <c r="AI93" s="39">
        <f>IFERROR(AI11-AI28,AI11)</f>
        <v/>
      </c>
      <c r="AJ93" s="39">
        <f>IFERROR(AJ11-AJ28,AJ11)</f>
        <v/>
      </c>
      <c r="AK93" s="38" t="n"/>
    </row>
    <row r="94">
      <c r="A94" s="2" t="inlineStr">
        <is>
          <t>DIFFS</t>
        </is>
      </c>
      <c r="C94" s="38" t="n"/>
      <c r="D94" s="38" t="n"/>
      <c r="E94" s="38" t="n"/>
      <c r="F94" s="38" t="n"/>
      <c r="G94" s="38" t="n"/>
      <c r="H94" s="38" t="n"/>
      <c r="I94" s="38" t="n"/>
      <c r="J94" s="38" t="n"/>
      <c r="K94" s="38" t="n"/>
      <c r="L94" s="38" t="n"/>
      <c r="M94" s="38" t="n"/>
      <c r="N94" s="38" t="n"/>
      <c r="O94" s="38" t="n"/>
      <c r="P94" s="38" t="n"/>
      <c r="Q94" s="38" t="n"/>
      <c r="R94" s="38" t="n"/>
      <c r="S94" s="38" t="n"/>
      <c r="T94" s="38" t="n"/>
      <c r="U94" s="38" t="n"/>
      <c r="V94" s="38" t="n"/>
      <c r="W94" s="38" t="n"/>
      <c r="X94" s="38" t="n"/>
      <c r="Y94" s="38" t="n"/>
      <c r="Z94" s="38" t="n"/>
      <c r="AA94" s="38" t="n"/>
      <c r="AB94" s="38" t="n"/>
      <c r="AC94" s="38" t="n"/>
      <c r="AD94" s="38" t="n"/>
      <c r="AE94" s="38" t="n"/>
      <c r="AF94" s="38" t="n"/>
      <c r="AG94" s="38" t="n"/>
      <c r="AH94" s="38" t="n"/>
      <c r="AI94" s="38" t="n"/>
      <c r="AJ94" s="38" t="n"/>
      <c r="AK94" s="38" t="n"/>
    </row>
    <row r="95">
      <c r="A95" s="4" t="inlineStr">
        <is>
          <t>OIL HIST</t>
        </is>
      </c>
      <c r="C95" s="40" t="n">
        <v>73.86</v>
      </c>
      <c r="D95" s="40" t="n">
        <v>76.61</v>
      </c>
      <c r="E95" s="40" t="n">
        <v>80.405</v>
      </c>
      <c r="F95" s="40" t="n">
        <v>84.39409999999999</v>
      </c>
      <c r="G95" s="40" t="n">
        <v>78.62139999999999</v>
      </c>
      <c r="H95" s="40" t="n">
        <v>78.69840000000001</v>
      </c>
      <c r="I95" s="40" t="n">
        <v>80.48136363636364</v>
      </c>
      <c r="J95" s="40" t="n">
        <v>75.4336</v>
      </c>
      <c r="K95" s="40" t="n">
        <v>69.3725</v>
      </c>
      <c r="L95" s="40" t="n">
        <v>71.5617</v>
      </c>
      <c r="M95" s="40" t="n">
        <v>69.544</v>
      </c>
      <c r="N95" s="40" t="n">
        <v>69.69759999999999</v>
      </c>
      <c r="O95" s="38" t="n"/>
      <c r="P95" s="38" t="n"/>
      <c r="Q95" s="40" t="n">
        <v>75.0981</v>
      </c>
      <c r="R95" s="40" t="n">
        <v>71.2089</v>
      </c>
      <c r="S95" s="40" t="n">
        <v>67.93952380952381</v>
      </c>
      <c r="T95" s="40" t="n">
        <v>62.96238095238097</v>
      </c>
      <c r="U95" s="40" t="n">
        <v>60.9352380952381</v>
      </c>
      <c r="V95" s="40" t="n">
        <v>67.32599999999999</v>
      </c>
      <c r="W95" s="40" t="n">
        <v>67.24318181818182</v>
      </c>
      <c r="X95" s="40" t="n">
        <v>64.01904761904761</v>
      </c>
      <c r="Y95" s="40" t="n">
        <v>63.53380952380952</v>
      </c>
      <c r="Z95" s="40" t="n">
        <v>60.06956521739131</v>
      </c>
      <c r="AA95" s="40" t="n">
        <v>59.48</v>
      </c>
      <c r="AB95" s="40" t="n">
        <v>57.86636363636364</v>
      </c>
      <c r="AC95" s="40" t="n"/>
      <c r="AD95" s="40" t="n"/>
      <c r="AE95" s="40" t="n">
        <v>60.26</v>
      </c>
      <c r="AF95" s="40" t="n">
        <v>64.52</v>
      </c>
      <c r="AG95" s="40" t="n">
        <v>90.997</v>
      </c>
      <c r="AH95" s="40" t="n">
        <v>98.06</v>
      </c>
      <c r="AI95" s="40" t="n">
        <v>98.51000000000001</v>
      </c>
      <c r="AJ95" s="40" t="n">
        <v>81.79000000000001</v>
      </c>
      <c r="AK95" s="40" t="n">
        <v>79.22</v>
      </c>
    </row>
    <row r="96">
      <c r="A96" s="4" t="inlineStr">
        <is>
          <t>GAS HIST</t>
        </is>
      </c>
      <c r="C96" s="40" t="n">
        <v>2.64</v>
      </c>
      <c r="D96" s="40" t="n">
        <v>2.5</v>
      </c>
      <c r="E96" s="40" t="n">
        <v>1.61</v>
      </c>
      <c r="F96" s="40" t="n">
        <v>1.57</v>
      </c>
      <c r="G96" s="40" t="n">
        <v>1.61</v>
      </c>
      <c r="H96" s="40" t="n">
        <v>2.5</v>
      </c>
      <c r="I96" s="40" t="n">
        <v>2.62</v>
      </c>
      <c r="J96" s="40" t="n">
        <v>1.9</v>
      </c>
      <c r="K96" s="40" t="n">
        <v>1.94</v>
      </c>
      <c r="L96" s="40" t="n">
        <v>2.59</v>
      </c>
      <c r="M96" s="40" t="n">
        <v>2.35</v>
      </c>
      <c r="N96" s="40" t="n">
        <v>3.44</v>
      </c>
      <c r="O96" s="38" t="n"/>
      <c r="P96" s="38" t="n"/>
      <c r="Q96" s="40" t="n">
        <v>3.5</v>
      </c>
      <c r="R96" s="40" t="n">
        <v>3.55</v>
      </c>
      <c r="S96" s="40" t="n">
        <v>3.91</v>
      </c>
      <c r="T96" s="40" t="n">
        <v>3.96</v>
      </c>
      <c r="U96" s="40" t="n">
        <v>3.17</v>
      </c>
      <c r="V96" s="40" t="n">
        <v>3.2</v>
      </c>
      <c r="W96" s="40" t="n">
        <v>3.25</v>
      </c>
      <c r="X96" s="40" t="n">
        <v>3.09</v>
      </c>
      <c r="Y96" s="40" t="n">
        <v>2.87</v>
      </c>
      <c r="Z96" s="40" t="n">
        <v>2.83</v>
      </c>
      <c r="AA96" s="40" t="n">
        <v>3.38</v>
      </c>
      <c r="AB96" s="40" t="n">
        <v>4.43</v>
      </c>
      <c r="AC96" s="40" t="n"/>
      <c r="AD96" s="40" t="n"/>
      <c r="AE96" s="40" t="n">
        <v>4.69</v>
      </c>
      <c r="AF96" s="40" t="n">
        <v>7.49</v>
      </c>
      <c r="AG96" s="40" t="n">
        <v>2.98</v>
      </c>
      <c r="AH96" s="40" t="n">
        <v>3.1</v>
      </c>
      <c r="AI96" s="40" t="n">
        <v>2.56</v>
      </c>
      <c r="AJ96" s="40" t="n">
        <v>3.04</v>
      </c>
      <c r="AK96" s="40" t="n">
        <v>3.23</v>
      </c>
    </row>
    <row r="97">
      <c r="A97" s="5" t="n"/>
    </row>
    <row r="98">
      <c r="A98" s="1" t="inlineStr">
        <is>
          <t>REALIZED OIL</t>
        </is>
      </c>
      <c r="C98" s="52">
        <f>IFERROR(C91/C3,"")</f>
        <v/>
      </c>
      <c r="D98" s="52">
        <f>IFERROR(D91/D3,"")</f>
        <v/>
      </c>
      <c r="E98" s="52">
        <f>IFERROR(E91/E3,"")</f>
        <v/>
      </c>
      <c r="F98" s="52">
        <f>IFERROR(F91/F3,"")</f>
        <v/>
      </c>
      <c r="G98" s="52">
        <f>IFERROR(G91/G3,"")</f>
        <v/>
      </c>
      <c r="H98" s="52">
        <f>IFERROR(H91/H3,"")</f>
        <v/>
      </c>
      <c r="I98" s="52">
        <f>IFERROR(I91/I3,"")</f>
        <v/>
      </c>
      <c r="J98" s="52">
        <f>IFERROR(J91/J3,"")</f>
        <v/>
      </c>
      <c r="K98" s="52">
        <f>IFERROR(K91/K3,"")</f>
        <v/>
      </c>
      <c r="L98" s="52">
        <f>IFERROR(L91/L3,"")</f>
        <v/>
      </c>
      <c r="M98" s="52">
        <f>IFERROR(M91/M3,"")</f>
        <v/>
      </c>
      <c r="N98" s="52">
        <f>IFERROR(N91/N3,"")</f>
        <v/>
      </c>
      <c r="O98" s="51" t="n"/>
      <c r="P98" s="51" t="n"/>
      <c r="Q98" s="52">
        <f>IFERROR(Q91/Q3,"")</f>
        <v/>
      </c>
      <c r="R98" s="52">
        <f>IFERROR(R91/R3,"")</f>
        <v/>
      </c>
      <c r="S98" s="52">
        <f>IFERROR(S91/S3,"")</f>
        <v/>
      </c>
      <c r="T98" s="52">
        <f>IFERROR(T91/T3,"")</f>
        <v/>
      </c>
      <c r="U98" s="52">
        <f>IFERROR(U91/U3,"")</f>
        <v/>
      </c>
      <c r="V98" s="52">
        <f>IFERROR(V91/V3,"")</f>
        <v/>
      </c>
      <c r="W98" s="52">
        <f>IFERROR(W91/W3,"")</f>
        <v/>
      </c>
      <c r="X98" s="52">
        <f>IFERROR(X91/X3,"")</f>
        <v/>
      </c>
      <c r="Y98" s="52">
        <f>IFERROR(Y91/Y3,"")</f>
        <v/>
      </c>
      <c r="Z98" s="52">
        <f>IFERROR(Z91/Z3,"")</f>
        <v/>
      </c>
      <c r="AA98" s="52">
        <f>IFERROR(AA91/AA3,"")</f>
        <v/>
      </c>
      <c r="AB98" s="52">
        <f>IFERROR(AB91/AB3,"")</f>
        <v/>
      </c>
      <c r="AC98" s="52" t="n"/>
      <c r="AD98" s="52">
        <f>IFERROR(AD91/AD3,"")</f>
        <v/>
      </c>
      <c r="AE98" s="52">
        <f>IFERROR(AE91/AE3,"")</f>
        <v/>
      </c>
      <c r="AF98" s="52">
        <f>IFERROR(AF91/AF3,"")</f>
        <v/>
      </c>
      <c r="AG98" s="52">
        <f>IFERROR(AG91/AG3,"")</f>
        <v/>
      </c>
      <c r="AH98" s="52">
        <f>IFERROR(AH91/AH3,"")</f>
        <v/>
      </c>
      <c r="AI98" s="52">
        <f>IFERROR(AI91/AI3,"")</f>
        <v/>
      </c>
      <c r="AJ98" s="52">
        <f>IFERROR(AJ91/AJ3,"")</f>
        <v/>
      </c>
      <c r="AK98" s="52">
        <f>IFERROR(AK91/AK3,"")</f>
        <v/>
      </c>
    </row>
    <row r="99">
      <c r="A99" s="1" t="inlineStr">
        <is>
          <t>REALIZED GAS</t>
        </is>
      </c>
      <c r="C99" s="52">
        <f>IFERROR(C92/C4,"")</f>
        <v/>
      </c>
      <c r="D99" s="52">
        <f>IFERROR(D92/D4,"")</f>
        <v/>
      </c>
      <c r="E99" s="52">
        <f>IFERROR(E92/E4,"")</f>
        <v/>
      </c>
      <c r="F99" s="52">
        <f>IFERROR(F92/F4,"")</f>
        <v/>
      </c>
      <c r="G99" s="52">
        <f>IFERROR(G92/G4,"")</f>
        <v/>
      </c>
      <c r="H99" s="52">
        <f>IFERROR(H92/H4,"")</f>
        <v/>
      </c>
      <c r="I99" s="52">
        <f>IFERROR(I92/I4,"")</f>
        <v/>
      </c>
      <c r="J99" s="52">
        <f>IFERROR(J92/J4,"")</f>
        <v/>
      </c>
      <c r="K99" s="52">
        <f>IFERROR(K92/K4,"")</f>
        <v/>
      </c>
      <c r="L99" s="52">
        <f>IFERROR(L92/L4,"")</f>
        <v/>
      </c>
      <c r="M99" s="52">
        <f>IFERROR(M92/M4,"")</f>
        <v/>
      </c>
      <c r="N99" s="52">
        <f>IFERROR(N92/N4,"")</f>
        <v/>
      </c>
      <c r="O99" s="51" t="n"/>
      <c r="P99" s="51" t="n"/>
      <c r="Q99" s="52">
        <f>IFERROR(Q92/Q4,"")</f>
        <v/>
      </c>
      <c r="R99" s="52">
        <f>IFERROR(R92/R4,"")</f>
        <v/>
      </c>
      <c r="S99" s="52">
        <f>IFERROR(S92/S4,"")</f>
        <v/>
      </c>
      <c r="T99" s="52">
        <f>IFERROR(T92/T4,"")</f>
        <v/>
      </c>
      <c r="U99" s="52">
        <f>IFERROR(U92/U4,"")</f>
        <v/>
      </c>
      <c r="V99" s="52">
        <f>IFERROR(V92/V4,"")</f>
        <v/>
      </c>
      <c r="W99" s="52">
        <f>IFERROR(W92/W4,"")</f>
        <v/>
      </c>
      <c r="X99" s="52">
        <f>IFERROR(X92/X4,"")</f>
        <v/>
      </c>
      <c r="Y99" s="52">
        <f>IFERROR(Y92/Y4,"")</f>
        <v/>
      </c>
      <c r="Z99" s="52">
        <f>IFERROR(Z92/Z4,"")</f>
        <v/>
      </c>
      <c r="AA99" s="52">
        <f>IFERROR(AA92/AA4,"")</f>
        <v/>
      </c>
      <c r="AB99" s="52">
        <f>IFERROR(AB92/AB4,"")</f>
        <v/>
      </c>
      <c r="AC99" s="52" t="n"/>
      <c r="AD99" s="52">
        <f>IFERROR(AD92/AD4,"")</f>
        <v/>
      </c>
      <c r="AE99" s="52">
        <f>IFERROR(AE92/AE4,"")</f>
        <v/>
      </c>
      <c r="AF99" s="52">
        <f>IFERROR(AF92/AF4,"")</f>
        <v/>
      </c>
      <c r="AG99" s="52">
        <f>IFERROR(AG92/AG4,"")</f>
        <v/>
      </c>
      <c r="AH99" s="52">
        <f>IFERROR(AH92/AH4,"")</f>
        <v/>
      </c>
      <c r="AI99" s="52">
        <f>IFERROR(AI92/AI4,"")</f>
        <v/>
      </c>
      <c r="AJ99" s="52">
        <f>IFERROR(AJ92/AJ4,"")</f>
        <v/>
      </c>
      <c r="AK99" s="51" t="n"/>
    </row>
    <row r="100">
      <c r="A100" s="1" t="inlineStr">
        <is>
          <t>REALIZED NGL</t>
        </is>
      </c>
      <c r="C100" s="52">
        <f>IFERROR(C93/C5,"")</f>
        <v/>
      </c>
      <c r="D100" s="52">
        <f>IFERROR(D93/D5,"")</f>
        <v/>
      </c>
      <c r="E100" s="52">
        <f>IFERROR(E93/E5,"")</f>
        <v/>
      </c>
      <c r="F100" s="52">
        <f>IFERROR(F93/F5,"")</f>
        <v/>
      </c>
      <c r="G100" s="52">
        <f>IFERROR(G93/G5,"")</f>
        <v/>
      </c>
      <c r="H100" s="52">
        <f>IFERROR(H93/H5,"")</f>
        <v/>
      </c>
      <c r="I100" s="52">
        <f>IFERROR(I93/I5,"")</f>
        <v/>
      </c>
      <c r="J100" s="52">
        <f>IFERROR(J93/J5,"")</f>
        <v/>
      </c>
      <c r="K100" s="52">
        <f>IFERROR(K93/K5,"")</f>
        <v/>
      </c>
      <c r="L100" s="52">
        <f>IFERROR(L93/L5,"")</f>
        <v/>
      </c>
      <c r="M100" s="52">
        <f>IFERROR(M93/M5,"")</f>
        <v/>
      </c>
      <c r="N100" s="52">
        <f>IFERROR(N93/N5,"")</f>
        <v/>
      </c>
      <c r="O100" s="51" t="n"/>
      <c r="P100" s="51" t="n"/>
      <c r="Q100" s="52">
        <f>IFERROR(Q93/Q5,"")</f>
        <v/>
      </c>
      <c r="R100" s="52">
        <f>IFERROR(R93/R5,"")</f>
        <v/>
      </c>
      <c r="S100" s="52">
        <f>IFERROR(S93/S5,"")</f>
        <v/>
      </c>
      <c r="T100" s="52">
        <f>IFERROR(T93/T5,"")</f>
        <v/>
      </c>
      <c r="U100" s="52">
        <f>IFERROR(U93/U5,"")</f>
        <v/>
      </c>
      <c r="V100" s="52">
        <f>IFERROR(V93/V5,"")</f>
        <v/>
      </c>
      <c r="W100" s="52">
        <f>IFERROR(W93/W5,"")</f>
        <v/>
      </c>
      <c r="X100" s="52">
        <f>IFERROR(X93/X5,"")</f>
        <v/>
      </c>
      <c r="Y100" s="52">
        <f>IFERROR(Y93/Y5,"")</f>
        <v/>
      </c>
      <c r="Z100" s="52">
        <f>IFERROR(Z93/Z5,"")</f>
        <v/>
      </c>
      <c r="AA100" s="52">
        <f>IFERROR(AA93/AA5,"")</f>
        <v/>
      </c>
      <c r="AB100" s="52">
        <f>IFERROR(AB93/AB5,"")</f>
        <v/>
      </c>
      <c r="AC100" s="52" t="n"/>
      <c r="AD100" s="52">
        <f>IFERROR(AD93/AD5,"")</f>
        <v/>
      </c>
      <c r="AE100" s="52">
        <f>IFERROR(AE93/AE5,"")</f>
        <v/>
      </c>
      <c r="AF100" s="52">
        <f>IFERROR(AF93/AF5,"")</f>
        <v/>
      </c>
      <c r="AG100" s="52">
        <f>IFERROR(AG93/AG5,"")</f>
        <v/>
      </c>
      <c r="AH100" s="52">
        <f>IFERROR(AH93/AH5,"")</f>
        <v/>
      </c>
      <c r="AI100" s="52">
        <f>IFERROR(AI93/AI5,"")</f>
        <v/>
      </c>
      <c r="AJ100" s="52">
        <f>IFERROR(AJ93/AJ5,"")</f>
        <v/>
      </c>
      <c r="AK100" s="51" t="n"/>
    </row>
    <row r="101">
      <c r="A101" s="5" t="n"/>
      <c r="AJ101" s="35" t="n"/>
      <c r="AL101" s="28" t="n"/>
    </row>
    <row r="102">
      <c r="A102" s="1" t="inlineStr">
        <is>
          <t>OIL DIFF</t>
        </is>
      </c>
      <c r="C102" s="52">
        <f>IFERROR(C98-C95,"")</f>
        <v/>
      </c>
      <c r="D102" s="52">
        <f>IFERROR(D98-D95,"")</f>
        <v/>
      </c>
      <c r="E102" s="52">
        <f>IFERROR(E98-E95,"")</f>
        <v/>
      </c>
      <c r="F102" s="52">
        <f>IFERROR(F98-F95,"")</f>
        <v/>
      </c>
      <c r="G102" s="52">
        <f>IFERROR(G98-G95,"")</f>
        <v/>
      </c>
      <c r="H102" s="52">
        <f>IFERROR(H98-H95,"")</f>
        <v/>
      </c>
      <c r="I102" s="52">
        <f>IFERROR(I98-I95,"")</f>
        <v/>
      </c>
      <c r="J102" s="52">
        <f>IFERROR(J98-J95,"")</f>
        <v/>
      </c>
      <c r="K102" s="52">
        <f>IFERROR(K98-K95,"")</f>
        <v/>
      </c>
      <c r="L102" s="52">
        <f>IFERROR(L98-L95,"")</f>
        <v/>
      </c>
      <c r="M102" s="52">
        <f>IFERROR(M98-M95,"")</f>
        <v/>
      </c>
      <c r="N102" s="52">
        <f>IFERROR(N98-N95,"")</f>
        <v/>
      </c>
      <c r="O102" s="51" t="n"/>
      <c r="P102" s="51" t="n"/>
      <c r="Q102" s="52">
        <f>IFERROR(Q98-Q95,"")</f>
        <v/>
      </c>
      <c r="R102" s="52">
        <f>IFERROR(R98-R95,"")</f>
        <v/>
      </c>
      <c r="S102" s="52">
        <f>IFERROR(S98-S95,"")</f>
        <v/>
      </c>
      <c r="T102" s="52">
        <f>IFERROR(T98-T95,"")</f>
        <v/>
      </c>
      <c r="U102" s="52">
        <f>IFERROR(U98-U95,"")</f>
        <v/>
      </c>
      <c r="V102" s="52">
        <f>IFERROR(V98-V95,"")</f>
        <v/>
      </c>
      <c r="W102" s="52">
        <f>IFERROR(W98-W95,"")</f>
        <v/>
      </c>
      <c r="X102" s="52">
        <f>IFERROR(X98-X95,"")</f>
        <v/>
      </c>
      <c r="Y102" s="52">
        <f>IFERROR(Y98-Y95,"")</f>
        <v/>
      </c>
      <c r="Z102" s="52">
        <f>IFERROR(Z98-Z95,"")</f>
        <v/>
      </c>
      <c r="AA102" s="52">
        <f>IFERROR(AA98-AA95,"")</f>
        <v/>
      </c>
      <c r="AB102" s="52">
        <f>IFERROR(AB98-AB95,"")</f>
        <v/>
      </c>
      <c r="AC102" s="52" t="n"/>
      <c r="AD102" s="52">
        <f>IFERROR(AD98-AD95,"")</f>
        <v/>
      </c>
      <c r="AE102" s="52">
        <f>IFERROR(AE98-AE95,"")</f>
        <v/>
      </c>
      <c r="AF102" s="52">
        <f>IFERROR(AF98-AF95,"")</f>
        <v/>
      </c>
      <c r="AG102" s="52">
        <f>IFERROR(AG98-AG95,"")</f>
        <v/>
      </c>
      <c r="AH102" s="52">
        <f>IFERROR(AH98-AH95,"")</f>
        <v/>
      </c>
      <c r="AI102" s="52">
        <f>IFERROR(AI98-AI95,"")</f>
        <v/>
      </c>
      <c r="AJ102" s="52">
        <f>IFERROR(AJ98-AJ95,"")</f>
        <v/>
      </c>
      <c r="AK102" s="52">
        <f>IFERROR(AK98-AK95,"")</f>
        <v/>
      </c>
      <c r="AL102" s="37" t="n"/>
      <c r="AM102" s="53" t="n"/>
    </row>
    <row r="103">
      <c r="A103" s="1" t="inlineStr">
        <is>
          <t>GAS DIFF</t>
        </is>
      </c>
      <c r="C103" s="52">
        <f>IFERROR(C99-C96,"")</f>
        <v/>
      </c>
      <c r="D103" s="52">
        <f>IFERROR(D99-D96,"")</f>
        <v/>
      </c>
      <c r="E103" s="52">
        <f>IFERROR(E99-E96,"")</f>
        <v/>
      </c>
      <c r="F103" s="52">
        <f>IFERROR(F99-F96,"")</f>
        <v/>
      </c>
      <c r="G103" s="52">
        <f>IFERROR(G99-G96,"")</f>
        <v/>
      </c>
      <c r="H103" s="52">
        <f>IFERROR(H99-H96,"")</f>
        <v/>
      </c>
      <c r="I103" s="52">
        <f>IFERROR(I99-I96,"")</f>
        <v/>
      </c>
      <c r="J103" s="52">
        <f>IFERROR(J99-J96,"")</f>
        <v/>
      </c>
      <c r="K103" s="52">
        <f>IFERROR(K99-K96,"")</f>
        <v/>
      </c>
      <c r="L103" s="52">
        <f>IFERROR(L99-L96,"")</f>
        <v/>
      </c>
      <c r="M103" s="52">
        <f>IFERROR(M99-M96,"")</f>
        <v/>
      </c>
      <c r="N103" s="52">
        <f>IFERROR(N99-N96,"")</f>
        <v/>
      </c>
      <c r="O103" s="51" t="n"/>
      <c r="P103" s="51" t="n"/>
      <c r="Q103" s="52">
        <f>IFERROR(Q99-Q96,"")</f>
        <v/>
      </c>
      <c r="R103" s="52">
        <f>IFERROR(R99-R96,"")</f>
        <v/>
      </c>
      <c r="S103" s="52">
        <f>IFERROR(S99-S96,"")</f>
        <v/>
      </c>
      <c r="T103" s="52">
        <f>IFERROR(T99-T96,"")</f>
        <v/>
      </c>
      <c r="U103" s="52">
        <f>IFERROR(U99-U96,"")</f>
        <v/>
      </c>
      <c r="V103" s="52">
        <f>IFERROR(V99-V96,"")</f>
        <v/>
      </c>
      <c r="W103" s="52">
        <f>IFERROR(W99-W96,"")</f>
        <v/>
      </c>
      <c r="X103" s="52">
        <f>IFERROR(X99-X96,"")</f>
        <v/>
      </c>
      <c r="Y103" s="52">
        <f>IFERROR(Y99-Y96,"")</f>
        <v/>
      </c>
      <c r="Z103" s="52">
        <f>IFERROR(Z99-Z96,"")</f>
        <v/>
      </c>
      <c r="AA103" s="52">
        <f>IFERROR(AA99-AA96,"")</f>
        <v/>
      </c>
      <c r="AB103" s="52">
        <f>IFERROR(AB99-AB96,"")</f>
        <v/>
      </c>
      <c r="AC103" s="52" t="n"/>
      <c r="AD103" s="52">
        <f>IFERROR(AD99-AD96,"")</f>
        <v/>
      </c>
      <c r="AE103" s="52">
        <f>IFERROR(AE99-AE96,"")</f>
        <v/>
      </c>
      <c r="AF103" s="52">
        <f>IFERROR(AF99-AF96,"")</f>
        <v/>
      </c>
      <c r="AG103" s="52">
        <f>IFERROR(AG99-AG96,"")</f>
        <v/>
      </c>
      <c r="AH103" s="52">
        <f>IFERROR(AH99-AH96,"")</f>
        <v/>
      </c>
      <c r="AI103" s="52">
        <f>IFERROR(AI99-AI96,"")</f>
        <v/>
      </c>
      <c r="AJ103" s="52">
        <f>IFERROR(AJ99-AJ96,"")</f>
        <v/>
      </c>
      <c r="AK103" s="51" t="n"/>
      <c r="AL103" s="37" t="n"/>
      <c r="AM103" s="53" t="n"/>
    </row>
    <row r="104">
      <c r="A104" s="1" t="inlineStr">
        <is>
          <t>NGL DIFF, % OF OIL</t>
        </is>
      </c>
      <c r="C104" s="54">
        <f>IFERROR(C100/C95,"")</f>
        <v/>
      </c>
      <c r="D104" s="54">
        <f>IFERROR(D100/D95,"")</f>
        <v/>
      </c>
      <c r="E104" s="54">
        <f>IFERROR(E100/E95,"")</f>
        <v/>
      </c>
      <c r="F104" s="54">
        <f>IFERROR(F100/F95,"")</f>
        <v/>
      </c>
      <c r="G104" s="54">
        <f>IFERROR(G100/G95,"")</f>
        <v/>
      </c>
      <c r="H104" s="54">
        <f>IFERROR(H100/H95,"")</f>
        <v/>
      </c>
      <c r="I104" s="54">
        <f>IFERROR(I100/I95,"")</f>
        <v/>
      </c>
      <c r="J104" s="54">
        <f>IFERROR(J100/J95,"")</f>
        <v/>
      </c>
      <c r="K104" s="54">
        <f>IFERROR(K100/K95,"")</f>
        <v/>
      </c>
      <c r="L104" s="54">
        <f>IFERROR(L100/L95,"")</f>
        <v/>
      </c>
      <c r="M104" s="54">
        <f>IFERROR(M100/M95,"")</f>
        <v/>
      </c>
      <c r="N104" s="54">
        <f>IFERROR(N100/N95,"")</f>
        <v/>
      </c>
      <c r="Q104" s="54">
        <f>IFERROR(Q100/Q95,"")</f>
        <v/>
      </c>
      <c r="R104" s="54">
        <f>IFERROR(R100/R95,"")</f>
        <v/>
      </c>
      <c r="S104" s="54">
        <f>IFERROR(S100/S95,"")</f>
        <v/>
      </c>
      <c r="T104" s="54">
        <f>IFERROR(T100/T95,"")</f>
        <v/>
      </c>
      <c r="U104" s="54">
        <f>IFERROR(U100/U95,"")</f>
        <v/>
      </c>
      <c r="V104" s="54">
        <f>IFERROR(V100/V95,"")</f>
        <v/>
      </c>
      <c r="W104" s="54">
        <f>IFERROR(W100/W95,"")</f>
        <v/>
      </c>
      <c r="X104" s="54">
        <f>IFERROR(X100/X95,"")</f>
        <v/>
      </c>
      <c r="Y104" s="54">
        <f>IFERROR(Y100/Y95,"")</f>
        <v/>
      </c>
      <c r="Z104" s="54">
        <f>IFERROR(Z100/Z95,"")</f>
        <v/>
      </c>
      <c r="AA104" s="54">
        <f>IFERROR(AA100/AA95,"")</f>
        <v/>
      </c>
      <c r="AB104" s="54">
        <f>IFERROR(AB100/AB95,"")</f>
        <v/>
      </c>
      <c r="AC104" s="54">
        <f>IFERROR(AC100/AC95,"")</f>
        <v/>
      </c>
      <c r="AD104" s="54">
        <f>IFERROR(AD100/AD95,"")</f>
        <v/>
      </c>
      <c r="AE104" s="54">
        <f>IFERROR(AE100/AE95,"")</f>
        <v/>
      </c>
      <c r="AF104" s="54">
        <f>IFERROR(AF100/AF95,"")</f>
        <v/>
      </c>
      <c r="AG104" s="54">
        <f>IFERROR(AG100/AG95,"")</f>
        <v/>
      </c>
      <c r="AH104" s="54">
        <f>IFERROR(AH100/AH95,"")</f>
        <v/>
      </c>
      <c r="AI104" s="54">
        <f>IFERROR(AI100/AI95,"")</f>
        <v/>
      </c>
      <c r="AJ104" s="54">
        <f>IFERROR(AJ100/AJ95,"")</f>
        <v/>
      </c>
      <c r="AL104" s="37" t="n"/>
      <c r="AM104" s="53" t="n"/>
    </row>
    <row r="105">
      <c r="AL105" s="37" t="n"/>
      <c r="AM105" s="53" t="n"/>
    </row>
    <row r="106">
      <c r="A106" s="1" t="inlineStr">
        <is>
          <t>NET BOEPD</t>
        </is>
      </c>
      <c r="C106" s="44">
        <f>IFERROR(C6/DAY(EOMONTH(C2,0)),"")</f>
        <v/>
      </c>
      <c r="D106" s="44">
        <f>IFERROR(D6/DAY(EOMONTH(D2,0)),"")</f>
        <v/>
      </c>
      <c r="E106" s="44">
        <f>IFERROR(E6/DAY(EOMONTH(E2,0)),"")</f>
        <v/>
      </c>
      <c r="F106" s="44">
        <f>IFERROR(F6/DAY(EOMONTH(F2,0)),"")</f>
        <v/>
      </c>
      <c r="G106" s="44">
        <f>IFERROR(G6/DAY(EOMONTH(G2,0)),"")</f>
        <v/>
      </c>
      <c r="H106" s="44">
        <f>IFERROR(H6/DAY(EOMONTH(H2,0)),"")</f>
        <v/>
      </c>
      <c r="I106" s="44">
        <f>IFERROR(I6/DAY(EOMONTH(I2,0)),"")</f>
        <v/>
      </c>
      <c r="J106" s="44">
        <f>IFERROR(J6/DAY(EOMONTH(J2,0)),"")</f>
        <v/>
      </c>
      <c r="K106" s="44">
        <f>IFERROR(K6/DAY(EOMONTH(K2,0)),"")</f>
        <v/>
      </c>
      <c r="L106" s="44">
        <f>IFERROR(L6/DAY(EOMONTH(L2,0)),"")</f>
        <v/>
      </c>
      <c r="M106" s="44">
        <f>IFERROR(M6/DAY(EOMONTH(M2,0)),"")</f>
        <v/>
      </c>
      <c r="N106" s="44">
        <f>IFERROR(N6/DAY(EOMONTH(N2,0)),"")</f>
        <v/>
      </c>
      <c r="O106" s="43" t="n"/>
      <c r="P106" s="43" t="n"/>
      <c r="Q106" s="44">
        <f>IFERROR(Q6/DAY(EOMONTH(Q2,0)),"")</f>
        <v/>
      </c>
      <c r="R106" s="44">
        <f>IFERROR(R6/DAY(EOMONTH(R2,0)),"")</f>
        <v/>
      </c>
      <c r="S106" s="44">
        <f>IFERROR(S6/DAY(EOMONTH(S2,0)),"")</f>
        <v/>
      </c>
      <c r="T106" s="44">
        <f>IFERROR(T6/DAY(EOMONTH(T2,0)),"")</f>
        <v/>
      </c>
      <c r="U106" s="44">
        <f>IFERROR(U6/DAY(EOMONTH(U2,0)),"")</f>
        <v/>
      </c>
      <c r="V106" s="44">
        <f>IFERROR(V6/DAY(EOMONTH(V2,0)),"")</f>
        <v/>
      </c>
      <c r="W106" s="44">
        <f>IFERROR(W6/DAY(EOMONTH(W2,0)),"")</f>
        <v/>
      </c>
      <c r="X106" s="44">
        <f>IFERROR(X6/DAY(EOMONTH(X2,0)),"")</f>
        <v/>
      </c>
      <c r="Y106" s="44">
        <f>IFERROR(Y6/DAY(EOMONTH(Y2,0)),"")</f>
        <v/>
      </c>
      <c r="Z106" s="44">
        <f>IFERROR(Z6/DAY(EOMONTH(Z2,0)),"")</f>
        <v/>
      </c>
      <c r="AA106" s="44">
        <f>IFERROR(AA6/DAY(EOMONTH(AA2,0)),"")</f>
        <v/>
      </c>
      <c r="AB106" s="44">
        <f>IFERROR(AB6/DAY(EOMONTH(AB2,0)),"")</f>
        <v/>
      </c>
      <c r="AC106" s="44">
        <f>IFERROR(AC6/DAY(EOMONTH(AC2,0)),"")</f>
        <v/>
      </c>
      <c r="AD106" s="44" t="n"/>
      <c r="AE106" s="44">
        <f>IFERROR(AE6/DAY(EOMONTH(AE2,0)),"")</f>
        <v/>
      </c>
      <c r="AF106" s="44">
        <f>IFERROR(AF6/DAY(EOMONTH(AF2,0)),"")</f>
        <v/>
      </c>
      <c r="AG106" s="44">
        <f>IFERROR(AG6/DAY(EOMONTH(AG2,0)),"")</f>
        <v/>
      </c>
      <c r="AH106" s="44">
        <f>IFERROR(AH6/DAY(EOMONTH(AH2,0)),"")</f>
        <v/>
      </c>
      <c r="AI106" s="44">
        <f>IFERROR(AI6/DAY(EOMONTH(AI2,0)),"")</f>
        <v/>
      </c>
      <c r="AJ106" s="44">
        <f>IFERROR(AJ6/DAY(EOMONTH(AJ2,0)),"")</f>
        <v/>
      </c>
      <c r="AK106" s="43" t="n"/>
      <c r="AL106" s="33" t="n"/>
    </row>
    <row r="107">
      <c r="A107" s="1" t="n"/>
      <c r="AL107" s="33" t="n"/>
    </row>
    <row r="108">
      <c r="AL108" s="33" t="n"/>
    </row>
  </sheetData>
  <pageMargins left="0.7" right="0.7" top="0.75" bottom="0.75" header="0.3" footer="0.3"/>
  <pageSetup orientation="portrait" scale="17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111"/>
  <sheetViews>
    <sheetView view="pageBreakPreview" zoomScale="60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43.28515625" bestFit="1" customWidth="1" min="1" max="1"/>
    <col width="5.85546875" bestFit="1" customWidth="1" min="2" max="2"/>
    <col width="12.42578125" bestFit="1" customWidth="1" min="3" max="3"/>
    <col width="13.7109375" bestFit="1" customWidth="1" min="4" max="4"/>
    <col width="11.140625" bestFit="1" customWidth="1" min="5" max="5"/>
    <col width="9.85546875" bestFit="1" customWidth="1" min="6" max="6"/>
    <col width="10.85546875" bestFit="1" customWidth="1" min="7" max="7"/>
    <col width="14" bestFit="1" customWidth="1" min="8" max="10"/>
    <col width="15.85546875" bestFit="1" customWidth="1" min="11" max="11"/>
    <col width="15.140625" bestFit="1" customWidth="1" min="12" max="12"/>
    <col width="15.28515625" bestFit="1" customWidth="1" min="13" max="14"/>
    <col width="16.5703125" bestFit="1" customWidth="1" min="15" max="15"/>
    <col width="15.140625" bestFit="1" customWidth="1" min="17" max="22"/>
    <col width="16.5703125" bestFit="1" customWidth="1" min="23" max="25"/>
    <col width="12.85546875" bestFit="1" customWidth="1" min="26" max="26"/>
    <col width="15.140625" bestFit="1" customWidth="1" min="27" max="28"/>
    <col width="14.28515625" customWidth="1" min="29" max="29"/>
    <col width="12.5703125" bestFit="1" customWidth="1" min="31" max="31"/>
    <col width="13.5703125" bestFit="1" customWidth="1" min="32" max="32"/>
    <col width="11.42578125" bestFit="1" customWidth="1" min="33" max="37"/>
    <col width="11.7109375" bestFit="1" customWidth="1" min="38" max="38"/>
    <col width="15.7109375" bestFit="1" customWidth="1" min="39" max="39"/>
    <col width="12.85546875" bestFit="1" customWidth="1" min="40" max="40"/>
    <col width="15.140625" bestFit="1" customWidth="1" min="41" max="42"/>
    <col width="14.28515625" customWidth="1" min="43" max="43"/>
    <col width="12.28515625" bestFit="1" customWidth="1" min="45" max="45"/>
    <col width="13.5703125" bestFit="1" customWidth="1" min="46" max="46"/>
    <col width="12.5703125" bestFit="1" customWidth="1" min="47" max="47"/>
    <col width="12.140625" customWidth="1" min="48" max="49"/>
    <col width="11.28515625" bestFit="1" customWidth="1" min="50" max="51"/>
  </cols>
  <sheetData>
    <row r="1">
      <c r="A1" s="28" t="inlineStr">
        <is>
          <t>LSB CENTRAL OP HZ</t>
        </is>
      </c>
    </row>
    <row r="2" customFormat="1" s="8">
      <c r="A2" s="9" t="inlineStr">
        <is>
          <t>Production:</t>
        </is>
      </c>
      <c r="C2" s="8" t="inlineStr">
        <is>
          <t>January 2023</t>
        </is>
      </c>
      <c r="D2" s="8" t="inlineStr">
        <is>
          <t>February 2023</t>
        </is>
      </c>
      <c r="E2" s="8" t="inlineStr">
        <is>
          <t>March 2023</t>
        </is>
      </c>
      <c r="F2" s="8" t="inlineStr">
        <is>
          <t>April 2023</t>
        </is>
      </c>
      <c r="G2" s="8" t="inlineStr">
        <is>
          <t>May 2023</t>
        </is>
      </c>
      <c r="H2" s="8" t="inlineStr">
        <is>
          <t>June 2023</t>
        </is>
      </c>
      <c r="I2" s="8" t="inlineStr">
        <is>
          <t>July 2023</t>
        </is>
      </c>
      <c r="J2" s="8" t="inlineStr">
        <is>
          <t>August 2023</t>
        </is>
      </c>
      <c r="K2" s="8" t="inlineStr">
        <is>
          <t>September 2023</t>
        </is>
      </c>
      <c r="L2" s="8" t="inlineStr">
        <is>
          <t>October 2023</t>
        </is>
      </c>
      <c r="M2" s="8" t="inlineStr">
        <is>
          <t>November 2023</t>
        </is>
      </c>
      <c r="N2" s="8" t="inlineStr">
        <is>
          <t>December 2023</t>
        </is>
      </c>
      <c r="O2" s="8" t="inlineStr">
        <is>
          <t>2023 Total</t>
        </is>
      </c>
      <c r="Q2" s="8" t="inlineStr">
        <is>
          <t>January 2024</t>
        </is>
      </c>
      <c r="R2" s="8" t="inlineStr">
        <is>
          <t>February 2024</t>
        </is>
      </c>
      <c r="S2" s="8" t="inlineStr">
        <is>
          <t>March 2024</t>
        </is>
      </c>
      <c r="T2" s="8" t="inlineStr">
        <is>
          <t>April 2024</t>
        </is>
      </c>
      <c r="U2" s="8" t="inlineStr">
        <is>
          <t>May 2024</t>
        </is>
      </c>
      <c r="V2" s="8" t="inlineStr">
        <is>
          <t>June 2024</t>
        </is>
      </c>
      <c r="W2" s="8" t="inlineStr">
        <is>
          <t>July 2024</t>
        </is>
      </c>
      <c r="X2" s="8" t="inlineStr">
        <is>
          <t>August 2024</t>
        </is>
      </c>
      <c r="Y2" s="8" t="inlineStr">
        <is>
          <t>September 2024</t>
        </is>
      </c>
      <c r="Z2" s="8" t="inlineStr">
        <is>
          <t>October 2024</t>
        </is>
      </c>
      <c r="AA2" s="8" t="inlineStr">
        <is>
          <t>November 2024</t>
        </is>
      </c>
      <c r="AB2" s="8" t="inlineStr">
        <is>
          <t>December 2024</t>
        </is>
      </c>
      <c r="AC2" s="8" t="inlineStr">
        <is>
          <t>2024 Total</t>
        </is>
      </c>
      <c r="AE2" s="8" t="inlineStr">
        <is>
          <t>January 2025</t>
        </is>
      </c>
      <c r="AF2" s="8" t="inlineStr">
        <is>
          <t>February 2025</t>
        </is>
      </c>
      <c r="AG2" s="8" t="inlineStr">
        <is>
          <t>March 2025</t>
        </is>
      </c>
      <c r="AH2" s="8" t="inlineStr">
        <is>
          <t>April 2025</t>
        </is>
      </c>
      <c r="AI2" s="8" t="inlineStr">
        <is>
          <t>May 2025</t>
        </is>
      </c>
      <c r="AJ2" s="8" t="inlineStr">
        <is>
          <t>June 2025</t>
        </is>
      </c>
      <c r="AK2" s="8" t="inlineStr">
        <is>
          <t>July 2025</t>
        </is>
      </c>
      <c r="AL2" s="8" t="inlineStr">
        <is>
          <t>August 2025</t>
        </is>
      </c>
      <c r="AM2" s="8" t="inlineStr">
        <is>
          <t>September 2025</t>
        </is>
      </c>
      <c r="AN2" s="8" t="inlineStr">
        <is>
          <t>October 2025</t>
        </is>
      </c>
      <c r="AO2" s="8" t="inlineStr">
        <is>
          <t>November 2025</t>
        </is>
      </c>
      <c r="AP2" s="8" t="inlineStr">
        <is>
          <t>December 2025</t>
        </is>
      </c>
      <c r="AQ2" s="8" t="inlineStr">
        <is>
          <t>2025 Total</t>
        </is>
      </c>
      <c r="AS2" s="8" t="inlineStr">
        <is>
          <t>January 2026</t>
        </is>
      </c>
      <c r="AT2" s="8" t="inlineStr">
        <is>
          <t>February 2026</t>
        </is>
      </c>
      <c r="AU2" s="8" t="inlineStr">
        <is>
          <t>March 2026</t>
        </is>
      </c>
      <c r="AV2" s="8" t="inlineStr">
        <is>
          <t>April 2026</t>
        </is>
      </c>
      <c r="AW2" s="8" t="inlineStr">
        <is>
          <t>May 2026</t>
        </is>
      </c>
      <c r="AX2" s="8" t="inlineStr">
        <is>
          <t>June 2026</t>
        </is>
      </c>
      <c r="AY2" s="8" t="inlineStr">
        <is>
          <t>July 2026</t>
        </is>
      </c>
    </row>
    <row r="3">
      <c r="A3" s="10" t="inlineStr">
        <is>
          <t>Oil sales</t>
        </is>
      </c>
      <c r="B3" s="11" t="inlineStr">
        <is>
          <t>Bbl</t>
        </is>
      </c>
      <c r="C3" s="43" t="n">
        <v>299299.5</v>
      </c>
      <c r="D3" s="43" t="n">
        <v>558001.01</v>
      </c>
      <c r="E3" s="43" t="n">
        <v>822328.2</v>
      </c>
      <c r="F3" s="43" t="n">
        <v>936071.3199999999</v>
      </c>
      <c r="G3" s="43" t="n">
        <v>1241995.39</v>
      </c>
      <c r="H3" s="43" t="n">
        <v>1279109.3</v>
      </c>
      <c r="I3" s="43" t="n">
        <v>1277009.28</v>
      </c>
      <c r="J3" s="43" t="n">
        <v>1515775.09</v>
      </c>
      <c r="K3" s="43" t="n">
        <v>1513083.45</v>
      </c>
      <c r="L3" s="43" t="n">
        <v>1456617.41</v>
      </c>
      <c r="M3" s="43" t="n">
        <v>1240141.78</v>
      </c>
      <c r="N3" s="43" t="n">
        <v>1227538.6</v>
      </c>
      <c r="O3" s="43" t="n">
        <v>13366970.33</v>
      </c>
      <c r="P3" s="43" t="n"/>
      <c r="Q3" s="43" t="n">
        <v>1220905.54</v>
      </c>
      <c r="R3" s="43" t="n">
        <v>1105942.27</v>
      </c>
      <c r="S3" s="43" t="n">
        <v>1097897.72</v>
      </c>
      <c r="T3" s="43" t="n">
        <v>921396.37</v>
      </c>
      <c r="U3" s="43" t="n">
        <v>944690.36</v>
      </c>
      <c r="V3" s="43" t="n">
        <v>950448.64</v>
      </c>
      <c r="W3" s="43" t="n">
        <v>981663.55</v>
      </c>
      <c r="X3" s="43" t="n">
        <v>885374.46</v>
      </c>
      <c r="Y3" s="43" t="n">
        <v>800410.15</v>
      </c>
      <c r="Z3" s="43" t="n">
        <v>903953.58</v>
      </c>
      <c r="AA3" s="43" t="n">
        <v>837338.04</v>
      </c>
      <c r="AB3" s="43" t="n">
        <v>730737.54</v>
      </c>
      <c r="AC3" s="43" t="n">
        <v>11380758.21</v>
      </c>
      <c r="AD3" s="43" t="n"/>
      <c r="AE3" s="43" t="n">
        <v>737057.59</v>
      </c>
      <c r="AF3" s="43" t="n">
        <v>825192.7</v>
      </c>
      <c r="AG3" s="43" t="n">
        <v>672481.9</v>
      </c>
      <c r="AH3" s="43" t="n">
        <v>724830.35</v>
      </c>
      <c r="AI3" s="43" t="n">
        <v>634218.2</v>
      </c>
      <c r="AJ3" s="43" t="n">
        <v>637955.05</v>
      </c>
      <c r="AK3" s="43" t="n">
        <v>610427.51</v>
      </c>
      <c r="AL3" s="43" t="n">
        <v>572064.5600000001</v>
      </c>
      <c r="AM3" s="43" t="n">
        <v>514326.08</v>
      </c>
      <c r="AN3" s="43" t="n">
        <v>569791</v>
      </c>
      <c r="AO3" s="43" t="n">
        <v>512897.61</v>
      </c>
      <c r="AP3" s="43" t="n">
        <v>484939.64</v>
      </c>
      <c r="AQ3" s="43" t="n">
        <v>7496182.18</v>
      </c>
      <c r="AR3" s="43" t="n"/>
      <c r="AS3" s="43" t="n">
        <v>388749.15</v>
      </c>
      <c r="AT3" s="43" t="n">
        <v>424732.41</v>
      </c>
      <c r="AU3" s="43" t="n">
        <v>416092.85</v>
      </c>
      <c r="AV3" s="43" t="n">
        <v>488160.12</v>
      </c>
      <c r="AW3" s="43" t="n">
        <v>454665.15</v>
      </c>
      <c r="AX3" s="43" t="n">
        <v>362637.12</v>
      </c>
      <c r="AY3" s="43" t="n">
        <v>346704.28</v>
      </c>
      <c r="AZ3" s="43" t="n"/>
    </row>
    <row r="4">
      <c r="A4" s="10" t="inlineStr">
        <is>
          <t>Natural gas sales</t>
        </is>
      </c>
      <c r="B4" s="11" t="inlineStr">
        <is>
          <t>Mcf</t>
        </is>
      </c>
      <c r="C4" s="43" t="n">
        <v>1460477.92</v>
      </c>
      <c r="D4" s="43" t="n">
        <v>3097786.88</v>
      </c>
      <c r="E4" s="43" t="n">
        <v>4227537.21</v>
      </c>
      <c r="F4" s="43" t="n">
        <v>5542715.83</v>
      </c>
      <c r="G4" s="43" t="n">
        <v>7275680.96</v>
      </c>
      <c r="H4" s="43" t="n">
        <v>6543423.23</v>
      </c>
      <c r="I4" s="43" t="n">
        <v>6594404.52</v>
      </c>
      <c r="J4" s="43" t="n">
        <v>7169789.83</v>
      </c>
      <c r="K4" s="43" t="n">
        <v>7795058.95</v>
      </c>
      <c r="L4" s="43" t="n">
        <v>8422583.630000001</v>
      </c>
      <c r="M4" s="43" t="n">
        <v>6432926.58</v>
      </c>
      <c r="N4" s="43" t="n">
        <v>5779331.12</v>
      </c>
      <c r="O4" s="43" t="n">
        <v>70341716.66</v>
      </c>
      <c r="P4" s="43" t="n"/>
      <c r="Q4" s="43" t="n">
        <v>6793897.76</v>
      </c>
      <c r="R4" s="43" t="n">
        <v>5498389.17</v>
      </c>
      <c r="S4" s="43" t="n">
        <v>6148477.89</v>
      </c>
      <c r="T4" s="43" t="n">
        <v>4744892.77</v>
      </c>
      <c r="U4" s="43" t="n">
        <v>4597024.52</v>
      </c>
      <c r="V4" s="43" t="n">
        <v>5657216.03</v>
      </c>
      <c r="W4" s="43" t="n">
        <v>4486255.18</v>
      </c>
      <c r="X4" s="43" t="n">
        <v>4759895.56</v>
      </c>
      <c r="Y4" s="43" t="n">
        <v>4076899.35</v>
      </c>
      <c r="Z4" s="43" t="n">
        <v>5186844.21</v>
      </c>
      <c r="AA4" s="43" t="n">
        <v>4120651.27</v>
      </c>
      <c r="AB4" s="43" t="n">
        <v>3627235.43</v>
      </c>
      <c r="AC4" s="43" t="n">
        <v>59697679.16</v>
      </c>
      <c r="AD4" s="43" t="n"/>
      <c r="AE4" s="43" t="n">
        <v>4346185.08</v>
      </c>
      <c r="AF4" s="43" t="n">
        <v>4916006.48</v>
      </c>
      <c r="AG4" s="43" t="n">
        <v>3754236.35</v>
      </c>
      <c r="AH4" s="43" t="n">
        <v>3953389.53</v>
      </c>
      <c r="AI4" s="43" t="n">
        <v>3554226.75</v>
      </c>
      <c r="AJ4" s="43" t="n">
        <v>3620419.11</v>
      </c>
      <c r="AK4" s="43" t="n">
        <v>2921291.09</v>
      </c>
      <c r="AL4" s="43" t="n">
        <v>3087375.13</v>
      </c>
      <c r="AM4" s="43" t="n">
        <v>2430226.27</v>
      </c>
      <c r="AN4" s="43" t="n">
        <v>3306597.99</v>
      </c>
      <c r="AO4" s="43" t="n">
        <v>2838088.92</v>
      </c>
      <c r="AP4" s="43" t="n">
        <v>2757337.86</v>
      </c>
      <c r="AQ4" s="43" t="n">
        <v>41485380.56</v>
      </c>
      <c r="AR4" s="43" t="n"/>
      <c r="AS4" s="43" t="n">
        <v>2117070.59</v>
      </c>
      <c r="AT4" s="43" t="n">
        <v>2522178.67</v>
      </c>
      <c r="AU4" s="43" t="n">
        <v>2046333.08</v>
      </c>
      <c r="AV4" s="43" t="n">
        <v>2527168.35</v>
      </c>
      <c r="AW4" s="43" t="n">
        <v>2430324.23</v>
      </c>
      <c r="AX4" s="43" t="n">
        <v>2141084.93</v>
      </c>
      <c r="AY4" s="43" t="n">
        <v>1665870.24</v>
      </c>
      <c r="AZ4" s="43" t="n"/>
    </row>
    <row r="5">
      <c r="A5" s="12" t="inlineStr">
        <is>
          <t>Natural gas liquid sales</t>
        </is>
      </c>
      <c r="B5" s="13" t="inlineStr">
        <is>
          <t>Bbl</t>
        </is>
      </c>
      <c r="C5" s="43" t="n">
        <v>166190.85</v>
      </c>
      <c r="D5" s="43" t="n">
        <v>333475.89</v>
      </c>
      <c r="E5" s="43" t="n">
        <v>478988.21</v>
      </c>
      <c r="F5" s="43" t="n">
        <v>670035.36</v>
      </c>
      <c r="G5" s="43" t="n">
        <v>766311.51</v>
      </c>
      <c r="H5" s="43" t="n">
        <v>658632.38</v>
      </c>
      <c r="I5" s="43" t="n">
        <v>911859.16</v>
      </c>
      <c r="J5" s="43" t="n">
        <v>839460.04</v>
      </c>
      <c r="K5" s="43" t="n">
        <v>1090539.03</v>
      </c>
      <c r="L5" s="43" t="n">
        <v>896123.0699999999</v>
      </c>
      <c r="M5" s="43" t="n">
        <v>730592.8199999999</v>
      </c>
      <c r="N5" s="43" t="n">
        <v>701422.0600000001</v>
      </c>
      <c r="O5" s="43" t="n">
        <v>8243630.38</v>
      </c>
      <c r="P5" s="43" t="n"/>
      <c r="Q5" s="43" t="n">
        <v>694788.61</v>
      </c>
      <c r="R5" s="43" t="n">
        <v>638933.33</v>
      </c>
      <c r="S5" s="43" t="n">
        <v>790214.08</v>
      </c>
      <c r="T5" s="43" t="n">
        <v>536933.28</v>
      </c>
      <c r="U5" s="43" t="n">
        <v>529309.62</v>
      </c>
      <c r="V5" s="43" t="n">
        <v>703450.85</v>
      </c>
      <c r="W5" s="43" t="n">
        <v>501310.79</v>
      </c>
      <c r="X5" s="43" t="n">
        <v>620202.83</v>
      </c>
      <c r="Y5" s="43" t="n">
        <v>483797.39</v>
      </c>
      <c r="Z5" s="43" t="n">
        <v>544166.34</v>
      </c>
      <c r="AA5" s="43" t="n">
        <v>456077.76</v>
      </c>
      <c r="AB5" s="43" t="n">
        <v>462161.62</v>
      </c>
      <c r="AC5" s="43" t="n">
        <v>6961346.49</v>
      </c>
      <c r="AD5" s="43" t="n"/>
      <c r="AE5" s="43" t="n">
        <v>542063.05</v>
      </c>
      <c r="AF5" s="43" t="n">
        <v>530940.59</v>
      </c>
      <c r="AG5" s="43" t="n">
        <v>479892.02</v>
      </c>
      <c r="AH5" s="43" t="n">
        <v>544505.13</v>
      </c>
      <c r="AI5" s="43" t="n">
        <v>428065.15</v>
      </c>
      <c r="AJ5" s="43" t="n">
        <v>396904.96</v>
      </c>
      <c r="AK5" s="43" t="n">
        <v>345505.84</v>
      </c>
      <c r="AL5" s="43" t="n">
        <v>406451.8</v>
      </c>
      <c r="AM5" s="43" t="n">
        <v>337467.35</v>
      </c>
      <c r="AN5" s="43" t="n">
        <v>436390.9</v>
      </c>
      <c r="AO5" s="43" t="n">
        <v>299977.97</v>
      </c>
      <c r="AP5" s="43" t="n">
        <v>338025.56</v>
      </c>
      <c r="AQ5" s="43" t="n">
        <v>5086190.34</v>
      </c>
      <c r="AR5" s="43" t="n"/>
      <c r="AS5" s="43" t="n">
        <v>211912.12</v>
      </c>
      <c r="AT5" s="43" t="n">
        <v>276551.07</v>
      </c>
      <c r="AU5" s="43" t="n">
        <v>233531.33</v>
      </c>
      <c r="AV5" s="43" t="n">
        <v>345709.61</v>
      </c>
      <c r="AW5" s="43" t="n">
        <v>260724.4</v>
      </c>
      <c r="AX5" s="43" t="n">
        <v>284268.57</v>
      </c>
      <c r="AY5" s="43" t="n">
        <v>183837.02</v>
      </c>
      <c r="AZ5" s="43" t="n"/>
    </row>
    <row r="6">
      <c r="A6" s="8" t="inlineStr">
        <is>
          <t>Grand Total</t>
        </is>
      </c>
      <c r="B6" s="8" t="inlineStr">
        <is>
          <t>BOE</t>
        </is>
      </c>
      <c r="C6" s="43" t="n">
        <v>708903.34</v>
      </c>
      <c r="D6" s="43" t="n">
        <v>1407774.71</v>
      </c>
      <c r="E6" s="43" t="n">
        <v>2005905.95</v>
      </c>
      <c r="F6" s="43" t="n">
        <v>2529892.65</v>
      </c>
      <c r="G6" s="43" t="n">
        <v>3220920.39</v>
      </c>
      <c r="H6" s="43" t="n">
        <v>3028312.22</v>
      </c>
      <c r="I6" s="43" t="n">
        <v>3287935.87</v>
      </c>
      <c r="J6" s="43" t="n">
        <v>3550200.1</v>
      </c>
      <c r="K6" s="43" t="n">
        <v>3902798.97</v>
      </c>
      <c r="L6" s="43" t="n">
        <v>3756504.42</v>
      </c>
      <c r="M6" s="43" t="n">
        <v>3042889.03</v>
      </c>
      <c r="N6" s="43" t="n">
        <v>2892182.51</v>
      </c>
      <c r="O6" s="43" t="n">
        <v>33334220.15</v>
      </c>
      <c r="P6" s="43" t="n"/>
      <c r="Q6" s="43" t="n">
        <v>3048010.44</v>
      </c>
      <c r="R6" s="43" t="n">
        <v>2661273.79</v>
      </c>
      <c r="S6" s="43" t="n">
        <v>2912858.12</v>
      </c>
      <c r="T6" s="43" t="n">
        <v>2249145.11</v>
      </c>
      <c r="U6" s="43" t="n">
        <v>2240170.73</v>
      </c>
      <c r="V6" s="43" t="n">
        <v>2596768.83</v>
      </c>
      <c r="W6" s="43" t="n">
        <v>2230683.54</v>
      </c>
      <c r="X6" s="43" t="n">
        <v>2298893.21</v>
      </c>
      <c r="Y6" s="43" t="n">
        <v>1963690.76</v>
      </c>
      <c r="Z6" s="43" t="n">
        <v>2312593.95</v>
      </c>
      <c r="AA6" s="43" t="n">
        <v>1980191.01</v>
      </c>
      <c r="AB6" s="43" t="n">
        <v>1797438.4</v>
      </c>
      <c r="AC6" s="43" t="n">
        <v>28291717.89</v>
      </c>
      <c r="AD6" s="43" t="n"/>
      <c r="AE6" s="43" t="n">
        <v>2003484.82</v>
      </c>
      <c r="AF6" s="43" t="n">
        <v>2175467.71</v>
      </c>
      <c r="AG6" s="43" t="n">
        <v>1778079.98</v>
      </c>
      <c r="AH6" s="43" t="n">
        <v>1928233.74</v>
      </c>
      <c r="AI6" s="43" t="n">
        <v>1654654.48</v>
      </c>
      <c r="AJ6" s="43" t="n">
        <v>1638263.19</v>
      </c>
      <c r="AK6" s="43" t="n">
        <v>1442815.2</v>
      </c>
      <c r="AL6" s="43" t="n">
        <v>1493078.88</v>
      </c>
      <c r="AM6" s="43" t="n">
        <v>1256831.14</v>
      </c>
      <c r="AN6" s="43" t="n">
        <v>1557281.57</v>
      </c>
      <c r="AO6" s="43" t="n">
        <v>1285890.4</v>
      </c>
      <c r="AP6" s="43" t="n">
        <v>1282521.51</v>
      </c>
      <c r="AQ6" s="43" t="n">
        <v>19496602.62</v>
      </c>
      <c r="AR6" s="43" t="n"/>
      <c r="AS6" s="43" t="n">
        <v>953506.36</v>
      </c>
      <c r="AT6" s="43" t="n">
        <v>1121646.59</v>
      </c>
      <c r="AU6" s="43" t="n">
        <v>990679.6899999999</v>
      </c>
      <c r="AV6" s="43" t="n">
        <v>1255064.45</v>
      </c>
      <c r="AW6" s="43" t="n">
        <v>1120443.59</v>
      </c>
      <c r="AX6" s="43" t="n">
        <v>1003753.18</v>
      </c>
      <c r="AY6" s="43" t="n">
        <v>808186.34</v>
      </c>
      <c r="AZ6" s="43" t="n"/>
    </row>
    <row r="7"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</row>
    <row r="8">
      <c r="A8" s="9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</row>
    <row r="9">
      <c r="A9" s="10" t="inlineStr">
        <is>
          <t>Oil sales</t>
        </is>
      </c>
      <c r="B9" s="11" t="inlineStr">
        <is>
          <t>$</t>
        </is>
      </c>
      <c r="C9" s="38" t="n">
        <v>24165889.12</v>
      </c>
      <c r="D9" s="38" t="n">
        <v>43487270.77</v>
      </c>
      <c r="E9" s="38" t="n">
        <v>49681002.8</v>
      </c>
      <c r="F9" s="38" t="n">
        <v>61355760.19</v>
      </c>
      <c r="G9" s="38" t="n">
        <v>93052121.95</v>
      </c>
      <c r="H9" s="38" t="n">
        <v>84306636.14</v>
      </c>
      <c r="I9" s="38" t="n">
        <v>102794457.18</v>
      </c>
      <c r="J9" s="38" t="n">
        <v>116767504.34</v>
      </c>
      <c r="K9" s="38" t="n">
        <v>117670454.33</v>
      </c>
      <c r="L9" s="38" t="n">
        <v>96348477.76000001</v>
      </c>
      <c r="M9" s="38" t="n">
        <v>85621058.40000001</v>
      </c>
      <c r="N9" s="38" t="n">
        <v>87426560.97</v>
      </c>
      <c r="O9" s="38" t="n">
        <v>962677193.95</v>
      </c>
      <c r="P9" s="38" t="n"/>
      <c r="Q9" s="38" t="n">
        <v>72165363.31</v>
      </c>
      <c r="R9" s="38" t="n">
        <v>90440143.51000001</v>
      </c>
      <c r="S9" s="38" t="n">
        <v>83717183.03</v>
      </c>
      <c r="T9" s="38" t="n">
        <v>58947406.35</v>
      </c>
      <c r="U9" s="38" t="n">
        <v>67042457.45</v>
      </c>
      <c r="V9" s="38" t="n">
        <v>55804383.65</v>
      </c>
      <c r="W9" s="38" t="n">
        <v>57581257.24</v>
      </c>
      <c r="X9" s="38" t="n">
        <v>67444200.81</v>
      </c>
      <c r="Y9" s="38" t="n">
        <v>50805228.77</v>
      </c>
      <c r="Z9" s="38" t="n">
        <v>54310974</v>
      </c>
      <c r="AA9" s="38" t="n">
        <v>58738912.58</v>
      </c>
      <c r="AB9" s="38" t="n">
        <v>55760956.99</v>
      </c>
      <c r="AC9" s="38" t="n">
        <v>772758467.6799999</v>
      </c>
      <c r="AD9" s="38" t="n"/>
      <c r="AE9" s="38" t="n">
        <v>49527847.31</v>
      </c>
      <c r="AF9" s="38" t="n">
        <v>52584332.77</v>
      </c>
      <c r="AG9" s="38" t="n">
        <v>44879392.94</v>
      </c>
      <c r="AH9" s="38" t="n">
        <v>42319456.46</v>
      </c>
      <c r="AI9" s="38" t="n">
        <v>47894590.95</v>
      </c>
      <c r="AJ9" s="38" t="n">
        <v>46021124.78</v>
      </c>
      <c r="AK9" s="38" t="n">
        <v>41796346.24</v>
      </c>
      <c r="AL9" s="38" t="n">
        <v>39094178.82</v>
      </c>
      <c r="AM9" s="38" t="n">
        <v>33569087.75</v>
      </c>
      <c r="AN9" s="38" t="n">
        <v>40760036.66</v>
      </c>
      <c r="AO9" s="38" t="n">
        <v>35116479.79</v>
      </c>
      <c r="AP9" s="38" t="n">
        <v>30387678.13</v>
      </c>
      <c r="AQ9" s="38" t="n">
        <v>503950552.6</v>
      </c>
      <c r="AR9" s="38" t="n"/>
      <c r="AS9" s="38" t="n">
        <v>23254167.85</v>
      </c>
      <c r="AT9" s="38" t="n">
        <v>25901295.17</v>
      </c>
      <c r="AU9" s="38" t="n">
        <v>28503529.85</v>
      </c>
      <c r="AV9" s="38" t="n">
        <v>30650430.83</v>
      </c>
      <c r="AW9" s="38" t="n">
        <v>35962975.14</v>
      </c>
      <c r="AX9" s="38" t="n">
        <v>22553996.7</v>
      </c>
      <c r="AY9" s="38" t="n">
        <v>23726924.56</v>
      </c>
      <c r="AZ9" s="38" t="n"/>
    </row>
    <row r="10">
      <c r="A10" s="10" t="inlineStr">
        <is>
          <t>Natural gas sales</t>
        </is>
      </c>
      <c r="B10" s="11" t="inlineStr">
        <is>
          <t>$</t>
        </is>
      </c>
      <c r="C10" s="38" t="n">
        <v>-1226521.61</v>
      </c>
      <c r="D10" s="38" t="n">
        <v>3490317.05</v>
      </c>
      <c r="E10" s="38" t="n">
        <v>2284083.46</v>
      </c>
      <c r="F10" s="38" t="n">
        <v>7253922.12</v>
      </c>
      <c r="G10" s="38" t="n">
        <v>7269201.08</v>
      </c>
      <c r="H10" s="38" t="n">
        <v>13249833.87</v>
      </c>
      <c r="I10" s="38" t="n">
        <v>-4610552.11</v>
      </c>
      <c r="J10" s="38" t="n">
        <v>9011481.359999999</v>
      </c>
      <c r="K10" s="38" t="n">
        <v>11859238.12</v>
      </c>
      <c r="L10" s="38" t="n">
        <v>-7830468.44</v>
      </c>
      <c r="M10" s="38" t="n">
        <v>14691556.53</v>
      </c>
      <c r="N10" s="38" t="n">
        <v>-1105306.01</v>
      </c>
      <c r="O10" s="38" t="n">
        <v>54336785.42</v>
      </c>
      <c r="P10" s="38" t="n"/>
      <c r="Q10" s="38" t="n">
        <v>12704238.27</v>
      </c>
      <c r="R10" s="38" t="n">
        <v>-178763.71</v>
      </c>
      <c r="S10" s="38" t="n">
        <v>12506381.15</v>
      </c>
      <c r="T10" s="38" t="n">
        <v>4585482.08</v>
      </c>
      <c r="U10" s="38" t="n">
        <v>5023548.49</v>
      </c>
      <c r="V10" s="38" t="n">
        <v>-2692383.93</v>
      </c>
      <c r="W10" s="38" t="n">
        <v>-290487.4</v>
      </c>
      <c r="X10" s="38" t="n">
        <v>-4295454.6</v>
      </c>
      <c r="Y10" s="38" t="n">
        <v>3458740.02</v>
      </c>
      <c r="Z10" s="38" t="n">
        <v>-2463912.22</v>
      </c>
      <c r="AA10" s="38" t="n">
        <v>2540234.6</v>
      </c>
      <c r="AB10" s="38" t="n">
        <v>1103858.14</v>
      </c>
      <c r="AC10" s="38" t="n">
        <v>32001480.89</v>
      </c>
      <c r="AD10" s="38" t="n"/>
      <c r="AE10" s="38" t="n">
        <v>10225318.24</v>
      </c>
      <c r="AF10" s="38" t="n">
        <v>10486557.51</v>
      </c>
      <c r="AG10" s="38" t="n">
        <v>3552847.06</v>
      </c>
      <c r="AH10" s="38" t="n">
        <v>1283137.93</v>
      </c>
      <c r="AI10" s="38" t="n">
        <v>4115770.04</v>
      </c>
      <c r="AJ10" s="38" t="n">
        <v>7377256.32</v>
      </c>
      <c r="AK10" s="38" t="n">
        <v>2501751.58</v>
      </c>
      <c r="AL10" s="38" t="n">
        <v>6767949.72</v>
      </c>
      <c r="AM10" s="38" t="n">
        <v>5527457.24</v>
      </c>
      <c r="AN10" s="38" t="n">
        <v>-1485313.04</v>
      </c>
      <c r="AO10" s="38" t="n">
        <v>3366680.73</v>
      </c>
      <c r="AP10" s="38" t="n">
        <v>6877559.88</v>
      </c>
      <c r="AQ10" s="38" t="n">
        <v>60596973.22</v>
      </c>
      <c r="AR10" s="38" t="n"/>
      <c r="AS10" s="38" t="n">
        <v>4136123.69</v>
      </c>
      <c r="AT10" s="38" t="n">
        <v>-789393.1800000001</v>
      </c>
      <c r="AU10" s="38" t="n">
        <v>1510775.75</v>
      </c>
      <c r="AV10" s="38" t="n">
        <v>4687347.77</v>
      </c>
      <c r="AW10" s="38" t="n">
        <v>1150687.76</v>
      </c>
      <c r="AX10" s="38" t="n">
        <v>1312659.03</v>
      </c>
      <c r="AY10" s="38" t="n">
        <v>1942510.56</v>
      </c>
      <c r="AZ10" s="38" t="n"/>
    </row>
    <row r="11">
      <c r="A11" s="12" t="inlineStr">
        <is>
          <t>Natural gas liquid sales</t>
        </is>
      </c>
      <c r="B11" s="13" t="inlineStr">
        <is>
          <t>$</t>
        </is>
      </c>
      <c r="C11" s="38" t="n">
        <v>2945877.86</v>
      </c>
      <c r="D11" s="38" t="n">
        <v>6056512.92</v>
      </c>
      <c r="E11" s="38" t="n">
        <v>8943675.73</v>
      </c>
      <c r="F11" s="38" t="n">
        <v>10229483.22</v>
      </c>
      <c r="G11" s="38" t="n">
        <v>14441187.77</v>
      </c>
      <c r="H11" s="38" t="n">
        <v>9717295.82</v>
      </c>
      <c r="I11" s="38" t="n">
        <v>14088494.77</v>
      </c>
      <c r="J11" s="38" t="n">
        <v>16954465.67</v>
      </c>
      <c r="K11" s="38" t="n">
        <v>24337842.84</v>
      </c>
      <c r="L11" s="38" t="n">
        <v>9392602.960000001</v>
      </c>
      <c r="M11" s="38" t="n">
        <v>15643591.78</v>
      </c>
      <c r="N11" s="38" t="n">
        <v>14431983.31</v>
      </c>
      <c r="O11" s="38" t="n">
        <v>147183014.64</v>
      </c>
      <c r="P11" s="38" t="n"/>
      <c r="Q11" s="38" t="n">
        <v>12964177.78</v>
      </c>
      <c r="R11" s="38" t="n">
        <v>14646654.82</v>
      </c>
      <c r="S11" s="38" t="n">
        <v>12321408.4</v>
      </c>
      <c r="T11" s="38" t="n">
        <v>11202694.92</v>
      </c>
      <c r="U11" s="38" t="n">
        <v>7269666.83</v>
      </c>
      <c r="V11" s="38" t="n">
        <v>11485816.61</v>
      </c>
      <c r="W11" s="38" t="n">
        <v>8229400.02</v>
      </c>
      <c r="X11" s="38" t="n">
        <v>5754723.36</v>
      </c>
      <c r="Y11" s="38" t="n">
        <v>9482912.42</v>
      </c>
      <c r="Z11" s="38" t="n">
        <v>8767117.92</v>
      </c>
      <c r="AA11" s="38" t="n">
        <v>10116727.35</v>
      </c>
      <c r="AB11" s="38" t="n">
        <v>10071688.51</v>
      </c>
      <c r="AC11" s="38" t="n">
        <v>122312988.94</v>
      </c>
      <c r="AD11" s="38" t="n"/>
      <c r="AE11" s="38" t="n">
        <v>11440723</v>
      </c>
      <c r="AF11" s="38" t="n">
        <v>8624994.73</v>
      </c>
      <c r="AG11" s="38" t="n">
        <v>4633203.17</v>
      </c>
      <c r="AH11" s="38" t="n">
        <v>8601484.199999999</v>
      </c>
      <c r="AI11" s="38" t="n">
        <v>6532603.36</v>
      </c>
      <c r="AJ11" s="38" t="n">
        <v>4863157.83</v>
      </c>
      <c r="AK11" s="38" t="n">
        <v>7098437.87</v>
      </c>
      <c r="AL11" s="38" t="n">
        <v>8684038.48</v>
      </c>
      <c r="AM11" s="38" t="n">
        <v>5696962.79</v>
      </c>
      <c r="AN11" s="38" t="n">
        <v>10014709.29</v>
      </c>
      <c r="AO11" s="38" t="n">
        <v>3866424.1</v>
      </c>
      <c r="AP11" s="38" t="n">
        <v>3071512.85</v>
      </c>
      <c r="AQ11" s="38" t="n">
        <v>83128251.67</v>
      </c>
      <c r="AR11" s="38" t="n"/>
      <c r="AS11" s="38" t="n">
        <v>4072327.26</v>
      </c>
      <c r="AT11" s="38" t="n">
        <v>5259338.92</v>
      </c>
      <c r="AU11" s="38" t="n">
        <v>4118580.71</v>
      </c>
      <c r="AV11" s="38" t="n">
        <v>6055188.17</v>
      </c>
      <c r="AW11" s="38" t="n">
        <v>3481920.79</v>
      </c>
      <c r="AX11" s="38" t="n">
        <v>4676519.44</v>
      </c>
      <c r="AY11" s="38" t="n">
        <v>1933219.13</v>
      </c>
      <c r="AZ11" s="38" t="n"/>
    </row>
    <row r="12">
      <c r="A12" s="8" t="inlineStr">
        <is>
          <t>Total Revenue</t>
        </is>
      </c>
      <c r="B12" s="8" t="n"/>
      <c r="C12" s="38" t="n">
        <v>25885245.38</v>
      </c>
      <c r="D12" s="38" t="n">
        <v>53034100.74</v>
      </c>
      <c r="E12" s="38" t="n">
        <v>60908761.99</v>
      </c>
      <c r="F12" s="38" t="n">
        <v>78839165.53</v>
      </c>
      <c r="G12" s="38" t="n">
        <v>114762510.79</v>
      </c>
      <c r="H12" s="38" t="n">
        <v>107273765.83</v>
      </c>
      <c r="I12" s="38" t="n">
        <v>112272399.85</v>
      </c>
      <c r="J12" s="38" t="n">
        <v>142733451.37</v>
      </c>
      <c r="K12" s="38" t="n">
        <v>153867535.29</v>
      </c>
      <c r="L12" s="38" t="n">
        <v>97910612.28</v>
      </c>
      <c r="M12" s="38" t="n">
        <v>115956206.71</v>
      </c>
      <c r="N12" s="38" t="n">
        <v>100753238.27</v>
      </c>
      <c r="O12" s="38" t="n">
        <v>1164196994.01</v>
      </c>
      <c r="P12" s="38" t="n"/>
      <c r="Q12" s="38" t="n">
        <v>97833779.36</v>
      </c>
      <c r="R12" s="38" t="n">
        <v>104908034.62</v>
      </c>
      <c r="S12" s="38" t="n">
        <v>108544972.58</v>
      </c>
      <c r="T12" s="38" t="n">
        <v>74735583.34999999</v>
      </c>
      <c r="U12" s="38" t="n">
        <v>79335672.76000001</v>
      </c>
      <c r="V12" s="38" t="n">
        <v>64597816.33</v>
      </c>
      <c r="W12" s="38" t="n">
        <v>65520169.86</v>
      </c>
      <c r="X12" s="38" t="n">
        <v>68903469.56999999</v>
      </c>
      <c r="Y12" s="38" t="n">
        <v>63746881.2</v>
      </c>
      <c r="Z12" s="38" t="n">
        <v>60614179.7</v>
      </c>
      <c r="AA12" s="38" t="n">
        <v>71395874.53</v>
      </c>
      <c r="AB12" s="38" t="n">
        <v>66936503.65</v>
      </c>
      <c r="AC12" s="38" t="n">
        <v>927072937.51</v>
      </c>
      <c r="AD12" s="38" t="n"/>
      <c r="AE12" s="38" t="n">
        <v>71193888.55</v>
      </c>
      <c r="AF12" s="38" t="n">
        <v>71695885.01000001</v>
      </c>
      <c r="AG12" s="38" t="n">
        <v>53065443.18</v>
      </c>
      <c r="AH12" s="38" t="n">
        <v>52204078.59</v>
      </c>
      <c r="AI12" s="38" t="n">
        <v>58542964.35</v>
      </c>
      <c r="AJ12" s="38" t="n">
        <v>58261538.93</v>
      </c>
      <c r="AK12" s="38" t="n">
        <v>51396535.69</v>
      </c>
      <c r="AL12" s="38" t="n">
        <v>54546167.02</v>
      </c>
      <c r="AM12" s="38" t="n">
        <v>44793507.77</v>
      </c>
      <c r="AN12" s="38" t="n">
        <v>49289432.91</v>
      </c>
      <c r="AO12" s="38" t="n">
        <v>42349584.62</v>
      </c>
      <c r="AP12" s="38" t="n">
        <v>40336750.86</v>
      </c>
      <c r="AQ12" s="38" t="n">
        <v>647675777.48</v>
      </c>
      <c r="AR12" s="38" t="n"/>
      <c r="AS12" s="38" t="n">
        <v>31462618.79</v>
      </c>
      <c r="AT12" s="38" t="n">
        <v>30371240.91</v>
      </c>
      <c r="AU12" s="38" t="n">
        <v>34132886.31</v>
      </c>
      <c r="AV12" s="38" t="n">
        <v>41392966.77</v>
      </c>
      <c r="AW12" s="38" t="n">
        <v>40595583.69</v>
      </c>
      <c r="AX12" s="38" t="n">
        <v>28543175.18</v>
      </c>
      <c r="AY12" s="38" t="n">
        <v>27602654.24</v>
      </c>
      <c r="AZ12" s="38" t="n"/>
    </row>
    <row r="13"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</row>
    <row r="14">
      <c r="A14" s="8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</row>
    <row r="15">
      <c r="A15" s="10" t="inlineStr">
        <is>
          <t xml:space="preserve">Oil </t>
        </is>
      </c>
      <c r="B15" t="inlineStr">
        <is>
          <t>$/Bbl</t>
        </is>
      </c>
      <c r="C15" s="51" t="n">
        <v>80.73999999999999</v>
      </c>
      <c r="D15" s="51" t="n">
        <v>77.93000000000001</v>
      </c>
      <c r="E15" s="51" t="n">
        <v>60.42</v>
      </c>
      <c r="F15" s="51" t="n">
        <v>65.55</v>
      </c>
      <c r="G15" s="51" t="n">
        <v>74.92</v>
      </c>
      <c r="H15" s="51" t="n">
        <v>65.91</v>
      </c>
      <c r="I15" s="51" t="n">
        <v>80.5</v>
      </c>
      <c r="J15" s="51" t="n">
        <v>77.03</v>
      </c>
      <c r="K15" s="51" t="n">
        <v>77.77</v>
      </c>
      <c r="L15" s="51" t="n">
        <v>66.15000000000001</v>
      </c>
      <c r="M15" s="51" t="n">
        <v>69.04000000000001</v>
      </c>
      <c r="N15" s="51" t="n">
        <v>71.22</v>
      </c>
      <c r="O15" s="51" t="n">
        <v>72.2647</v>
      </c>
      <c r="P15" s="51" t="n"/>
      <c r="Q15" s="51" t="n">
        <v>59.11</v>
      </c>
      <c r="R15" s="51" t="n">
        <v>81.78</v>
      </c>
      <c r="S15" s="51" t="n">
        <v>76.25</v>
      </c>
      <c r="T15" s="51" t="n">
        <v>63.98</v>
      </c>
      <c r="U15" s="51" t="n">
        <v>70.97</v>
      </c>
      <c r="V15" s="51" t="n">
        <v>58.71</v>
      </c>
      <c r="W15" s="51" t="n">
        <v>58.66</v>
      </c>
      <c r="X15" s="51" t="n">
        <v>76.18000000000001</v>
      </c>
      <c r="Y15" s="51" t="n">
        <v>63.47</v>
      </c>
      <c r="Z15" s="51" t="n">
        <v>60.08</v>
      </c>
      <c r="AA15" s="51" t="n">
        <v>70.15000000000001</v>
      </c>
      <c r="AB15" s="51" t="n">
        <v>76.31</v>
      </c>
      <c r="AC15" s="51" t="n">
        <v>67.97</v>
      </c>
      <c r="AD15" s="51" t="n"/>
      <c r="AE15" s="51" t="n">
        <v>67.2</v>
      </c>
      <c r="AF15" s="51" t="n">
        <v>63.72</v>
      </c>
      <c r="AG15" s="51" t="n">
        <v>66.73999999999999</v>
      </c>
      <c r="AH15" s="51" t="n">
        <v>58.39</v>
      </c>
      <c r="AI15" s="51" t="n">
        <v>75.52</v>
      </c>
      <c r="AJ15" s="51" t="n">
        <v>72.14</v>
      </c>
      <c r="AK15" s="51" t="n">
        <v>68.47</v>
      </c>
      <c r="AL15" s="51" t="n">
        <v>68.34</v>
      </c>
      <c r="AM15" s="51" t="n">
        <v>65.27</v>
      </c>
      <c r="AN15" s="51" t="n">
        <v>71.54000000000001</v>
      </c>
      <c r="AO15" s="51" t="n">
        <v>68.47</v>
      </c>
      <c r="AP15" s="51" t="n">
        <v>62.66</v>
      </c>
      <c r="AQ15" s="51" t="n">
        <v>67.37009999999999</v>
      </c>
      <c r="AR15" s="51" t="n"/>
      <c r="AS15" s="51" t="n">
        <v>59.82</v>
      </c>
      <c r="AT15" s="51" t="n">
        <v>60.98</v>
      </c>
      <c r="AU15" s="51" t="n">
        <v>68.5</v>
      </c>
      <c r="AV15" s="51" t="n">
        <v>62.79</v>
      </c>
      <c r="AW15" s="51" t="n">
        <v>79.09999999999999</v>
      </c>
      <c r="AX15" s="51" t="n">
        <v>62.19</v>
      </c>
      <c r="AY15" s="51" t="n">
        <v>68.44</v>
      </c>
      <c r="AZ15" s="51" t="n"/>
    </row>
    <row r="16">
      <c r="A16" s="10" t="inlineStr">
        <is>
          <t>Natural gas</t>
        </is>
      </c>
      <c r="B16" t="inlineStr">
        <is>
          <t>$/Mcf</t>
        </is>
      </c>
      <c r="C16" s="51" t="n">
        <v>-0.84</v>
      </c>
      <c r="D16" s="51" t="n">
        <v>1.13</v>
      </c>
      <c r="E16" s="51" t="n">
        <v>0.54</v>
      </c>
      <c r="F16" s="51" t="n">
        <v>1.31</v>
      </c>
      <c r="G16" s="51" t="n">
        <v>1</v>
      </c>
      <c r="H16" s="51" t="n">
        <v>2.02</v>
      </c>
      <c r="I16" s="51" t="n">
        <v>-0.7</v>
      </c>
      <c r="J16" s="51" t="n">
        <v>1.26</v>
      </c>
      <c r="K16" s="51" t="n">
        <v>1.52</v>
      </c>
      <c r="L16" s="51" t="n">
        <v>-0.93</v>
      </c>
      <c r="M16" s="51" t="n">
        <v>2.28</v>
      </c>
      <c r="N16" s="51" t="n">
        <v>-0.19</v>
      </c>
      <c r="O16" s="51" t="n">
        <v>0.7002</v>
      </c>
      <c r="P16" s="51" t="n"/>
      <c r="Q16" s="51" t="n">
        <v>1.87</v>
      </c>
      <c r="R16" s="51" t="n">
        <v>-0.03</v>
      </c>
      <c r="S16" s="51" t="n">
        <v>2.03</v>
      </c>
      <c r="T16" s="51" t="n">
        <v>0.97</v>
      </c>
      <c r="U16" s="51" t="n">
        <v>1.09</v>
      </c>
      <c r="V16" s="51" t="n">
        <v>-0.48</v>
      </c>
      <c r="W16" s="51" t="n">
        <v>-0.06</v>
      </c>
      <c r="X16" s="51" t="n">
        <v>-0.9</v>
      </c>
      <c r="Y16" s="51" t="n">
        <v>0.85</v>
      </c>
      <c r="Z16" s="51" t="n">
        <v>-0.48</v>
      </c>
      <c r="AA16" s="51" t="n">
        <v>0.62</v>
      </c>
      <c r="AB16" s="51" t="n">
        <v>0.3</v>
      </c>
      <c r="AC16" s="51" t="n">
        <v>0.4818</v>
      </c>
      <c r="AD16" s="51" t="n"/>
      <c r="AE16" s="51" t="n">
        <v>2.35</v>
      </c>
      <c r="AF16" s="51" t="n">
        <v>2.13</v>
      </c>
      <c r="AG16" s="51" t="n">
        <v>0.95</v>
      </c>
      <c r="AH16" s="51" t="n">
        <v>0.32</v>
      </c>
      <c r="AI16" s="51" t="n">
        <v>1.16</v>
      </c>
      <c r="AJ16" s="51" t="n">
        <v>2.04</v>
      </c>
      <c r="AK16" s="51" t="n">
        <v>0.86</v>
      </c>
      <c r="AL16" s="51" t="n">
        <v>2.19</v>
      </c>
      <c r="AM16" s="51" t="n">
        <v>2.27</v>
      </c>
      <c r="AN16" s="51" t="n">
        <v>-0.45</v>
      </c>
      <c r="AO16" s="51" t="n">
        <v>1.19</v>
      </c>
      <c r="AP16" s="51" t="n">
        <v>2.49</v>
      </c>
      <c r="AQ16" s="51" t="n">
        <v>1.4589</v>
      </c>
      <c r="AR16" s="51" t="n"/>
      <c r="AS16" s="51" t="n">
        <v>1.95</v>
      </c>
      <c r="AT16" s="51" t="n">
        <v>-0.31</v>
      </c>
      <c r="AU16" s="51" t="n">
        <v>0.74</v>
      </c>
      <c r="AV16" s="51" t="n">
        <v>1.85</v>
      </c>
      <c r="AW16" s="51" t="n">
        <v>0.47</v>
      </c>
      <c r="AX16" s="51" t="n">
        <v>0.61</v>
      </c>
      <c r="AY16" s="51" t="n">
        <v>1.17</v>
      </c>
      <c r="AZ16" s="51" t="n"/>
    </row>
    <row r="17">
      <c r="A17" s="10" t="inlineStr">
        <is>
          <t>Natural gas liquids</t>
        </is>
      </c>
      <c r="B17" t="inlineStr">
        <is>
          <t>$/Bbl</t>
        </is>
      </c>
      <c r="C17" s="51" t="n">
        <v>17.73</v>
      </c>
      <c r="D17" s="51" t="n">
        <v>18.16</v>
      </c>
      <c r="E17" s="51" t="n">
        <v>18.67</v>
      </c>
      <c r="F17" s="51" t="n">
        <v>15.27</v>
      </c>
      <c r="G17" s="51" t="n">
        <v>18.85</v>
      </c>
      <c r="H17" s="51" t="n">
        <v>14.75</v>
      </c>
      <c r="I17" s="51" t="n">
        <v>15.45</v>
      </c>
      <c r="J17" s="51" t="n">
        <v>20.2</v>
      </c>
      <c r="K17" s="51" t="n">
        <v>22.32</v>
      </c>
      <c r="L17" s="51" t="n">
        <v>10.48</v>
      </c>
      <c r="M17" s="51" t="n">
        <v>21.41</v>
      </c>
      <c r="N17" s="51" t="n">
        <v>20.58</v>
      </c>
      <c r="O17" s="51" t="n">
        <v>17.8216</v>
      </c>
      <c r="P17" s="51" t="n"/>
      <c r="Q17" s="51" t="n">
        <v>18.66</v>
      </c>
      <c r="R17" s="51" t="n">
        <v>22.92</v>
      </c>
      <c r="S17" s="51" t="n">
        <v>15.59</v>
      </c>
      <c r="T17" s="51" t="n">
        <v>20.86</v>
      </c>
      <c r="U17" s="51" t="n">
        <v>13.73</v>
      </c>
      <c r="V17" s="51" t="n">
        <v>16.33</v>
      </c>
      <c r="W17" s="51" t="n">
        <v>16.42</v>
      </c>
      <c r="X17" s="51" t="n">
        <v>9.279999999999999</v>
      </c>
      <c r="Y17" s="51" t="n">
        <v>19.6</v>
      </c>
      <c r="Z17" s="51" t="n">
        <v>16.11</v>
      </c>
      <c r="AA17" s="51" t="n">
        <v>22.18</v>
      </c>
      <c r="AB17" s="51" t="n">
        <v>21.79</v>
      </c>
      <c r="AC17" s="51" t="n">
        <v>17.7902</v>
      </c>
      <c r="AD17" s="51" t="n"/>
      <c r="AE17" s="51" t="n">
        <v>21.11</v>
      </c>
      <c r="AF17" s="51" t="n">
        <v>16.24</v>
      </c>
      <c r="AG17" s="51" t="n">
        <v>9.65</v>
      </c>
      <c r="AH17" s="51" t="n">
        <v>15.8</v>
      </c>
      <c r="AI17" s="51" t="n">
        <v>15.26</v>
      </c>
      <c r="AJ17" s="51" t="n">
        <v>12.25</v>
      </c>
      <c r="AK17" s="51" t="n">
        <v>20.55</v>
      </c>
      <c r="AL17" s="51" t="n">
        <v>21.37</v>
      </c>
      <c r="AM17" s="51" t="n">
        <v>16.88</v>
      </c>
      <c r="AN17" s="51" t="n">
        <v>22.95</v>
      </c>
      <c r="AO17" s="51" t="n">
        <v>12.89</v>
      </c>
      <c r="AP17" s="51" t="n">
        <v>9.09</v>
      </c>
      <c r="AQ17" s="51" t="n">
        <v>16.1694</v>
      </c>
      <c r="AR17" s="51" t="n"/>
      <c r="AS17" s="51" t="n">
        <v>19.22</v>
      </c>
      <c r="AT17" s="51" t="n">
        <v>19.02</v>
      </c>
      <c r="AU17" s="51" t="n">
        <v>17.64</v>
      </c>
      <c r="AV17" s="51" t="n">
        <v>17.52</v>
      </c>
      <c r="AW17" s="51" t="n">
        <v>13.35</v>
      </c>
      <c r="AX17" s="51" t="n">
        <v>16.45</v>
      </c>
      <c r="AY17" s="51" t="n">
        <v>10.52</v>
      </c>
      <c r="AZ17" s="51" t="n"/>
    </row>
    <row r="18"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</row>
    <row r="19">
      <c r="A19" s="8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</row>
    <row r="20">
      <c r="A20" s="10" t="inlineStr">
        <is>
          <t>Production tax - Oil</t>
        </is>
      </c>
      <c r="C20" s="38" t="n">
        <v>1111630.9</v>
      </c>
      <c r="D20" s="38" t="n">
        <v>2000414.46</v>
      </c>
      <c r="E20" s="38" t="n">
        <v>2285326.13</v>
      </c>
      <c r="F20" s="38" t="n">
        <v>2822364.97</v>
      </c>
      <c r="G20" s="38" t="n">
        <v>4280397.61</v>
      </c>
      <c r="H20" s="38" t="n">
        <v>3878105.26</v>
      </c>
      <c r="I20" s="38" t="n">
        <v>4728545.03</v>
      </c>
      <c r="J20" s="38" t="n">
        <v>5371305.2</v>
      </c>
      <c r="K20" s="38" t="n">
        <v>5412840.9</v>
      </c>
      <c r="L20" s="38" t="n">
        <v>4432029.98</v>
      </c>
      <c r="M20" s="38" t="n">
        <v>3938568.69</v>
      </c>
      <c r="N20" s="38" t="n">
        <v>4021621.8</v>
      </c>
      <c r="O20" s="38" t="n">
        <v>44283150.92</v>
      </c>
      <c r="P20" s="38" t="n"/>
      <c r="Q20" s="38" t="n">
        <v>3319606.71</v>
      </c>
      <c r="R20" s="38" t="n">
        <v>4160246.6</v>
      </c>
      <c r="S20" s="38" t="n">
        <v>3850990.42</v>
      </c>
      <c r="T20" s="38" t="n">
        <v>2711580.69</v>
      </c>
      <c r="U20" s="38" t="n">
        <v>3083953.04</v>
      </c>
      <c r="V20" s="38" t="n">
        <v>2567001.65</v>
      </c>
      <c r="W20" s="38" t="n">
        <v>2648737.83</v>
      </c>
      <c r="X20" s="38" t="n">
        <v>3102433.24</v>
      </c>
      <c r="Y20" s="38" t="n">
        <v>2337040.52</v>
      </c>
      <c r="Z20" s="38" t="n">
        <v>2498304.8</v>
      </c>
      <c r="AA20" s="38" t="n">
        <v>2701989.98</v>
      </c>
      <c r="AB20" s="38" t="n">
        <v>2565004.02</v>
      </c>
      <c r="AC20" s="38" t="n">
        <v>35546889.51</v>
      </c>
      <c r="AD20" s="38" t="n"/>
      <c r="AE20" s="38" t="n">
        <v>2278280.98</v>
      </c>
      <c r="AF20" s="38" t="n">
        <v>2418879.31</v>
      </c>
      <c r="AG20" s="38" t="n">
        <v>2064452.08</v>
      </c>
      <c r="AH20" s="38" t="n">
        <v>1946695</v>
      </c>
      <c r="AI20" s="38" t="n">
        <v>2203151.18</v>
      </c>
      <c r="AJ20" s="38" t="n">
        <v>2116971.74</v>
      </c>
      <c r="AK20" s="38" t="n">
        <v>1922631.93</v>
      </c>
      <c r="AL20" s="38" t="n">
        <v>1798332.23</v>
      </c>
      <c r="AM20" s="38" t="n">
        <v>1544178.04</v>
      </c>
      <c r="AN20" s="38" t="n">
        <v>1874961.69</v>
      </c>
      <c r="AO20" s="38" t="n">
        <v>1615358.07</v>
      </c>
      <c r="AP20" s="38" t="n">
        <v>1397833.19</v>
      </c>
      <c r="AQ20" s="38" t="n">
        <v>23181725.42</v>
      </c>
      <c r="AR20" s="38" t="n"/>
      <c r="AS20" s="38" t="n">
        <v>1069691.72</v>
      </c>
      <c r="AT20" s="38" t="n">
        <v>1191459.58</v>
      </c>
      <c r="AU20" s="38" t="n">
        <v>1311162.37</v>
      </c>
      <c r="AV20" s="38" t="n">
        <v>1409919.82</v>
      </c>
      <c r="AW20" s="38" t="n">
        <v>1654296.86</v>
      </c>
      <c r="AX20" s="38" t="n">
        <v>1037483.85</v>
      </c>
      <c r="AY20" s="38" t="n">
        <v>1091438.53</v>
      </c>
      <c r="AZ20" s="38" t="n"/>
    </row>
    <row r="21">
      <c r="A21" s="10" t="inlineStr">
        <is>
          <t>Production tax - Gas</t>
        </is>
      </c>
      <c r="C21" s="38" t="n">
        <v>0</v>
      </c>
      <c r="D21" s="38" t="n">
        <v>160554.58</v>
      </c>
      <c r="E21" s="38" t="n">
        <v>105067.84</v>
      </c>
      <c r="F21" s="38" t="n">
        <v>333680.42</v>
      </c>
      <c r="G21" s="38" t="n">
        <v>334383.25</v>
      </c>
      <c r="H21" s="38" t="n">
        <v>609492.36</v>
      </c>
      <c r="I21" s="38" t="n">
        <v>0</v>
      </c>
      <c r="J21" s="38" t="n">
        <v>414528.14</v>
      </c>
      <c r="K21" s="38" t="n">
        <v>545524.95</v>
      </c>
      <c r="L21" s="38" t="n">
        <v>0</v>
      </c>
      <c r="M21" s="38" t="n">
        <v>675811.6</v>
      </c>
      <c r="N21" s="38" t="n">
        <v>0</v>
      </c>
      <c r="O21" s="38" t="n">
        <v>3179043.14</v>
      </c>
      <c r="P21" s="38" t="n"/>
      <c r="Q21" s="38" t="n">
        <v>584394.96</v>
      </c>
      <c r="R21" s="38" t="n">
        <v>0</v>
      </c>
      <c r="S21" s="38" t="n">
        <v>575293.53</v>
      </c>
      <c r="T21" s="38" t="n">
        <v>210932.18</v>
      </c>
      <c r="U21" s="38" t="n">
        <v>231083.23</v>
      </c>
      <c r="V21" s="38" t="n">
        <v>0</v>
      </c>
      <c r="W21" s="38" t="n">
        <v>0</v>
      </c>
      <c r="X21" s="38" t="n">
        <v>0</v>
      </c>
      <c r="Y21" s="38" t="n">
        <v>159102.04</v>
      </c>
      <c r="Z21" s="38" t="n">
        <v>0</v>
      </c>
      <c r="AA21" s="38" t="n">
        <v>116850.79</v>
      </c>
      <c r="AB21" s="38" t="n">
        <v>50777.47</v>
      </c>
      <c r="AC21" s="38" t="n">
        <v>1928434.21</v>
      </c>
      <c r="AD21" s="38" t="n"/>
      <c r="AE21" s="38" t="n">
        <v>470364.64</v>
      </c>
      <c r="AF21" s="38" t="n">
        <v>482381.65</v>
      </c>
      <c r="AG21" s="38" t="n">
        <v>163430.96</v>
      </c>
      <c r="AH21" s="38" t="n">
        <v>59024.34</v>
      </c>
      <c r="AI21" s="38" t="n">
        <v>189325.42</v>
      </c>
      <c r="AJ21" s="38" t="n">
        <v>339353.79</v>
      </c>
      <c r="AK21" s="38" t="n">
        <v>115080.57</v>
      </c>
      <c r="AL21" s="38" t="n">
        <v>311325.69</v>
      </c>
      <c r="AM21" s="38" t="n">
        <v>254263.03</v>
      </c>
      <c r="AN21" s="38" t="n">
        <v>0</v>
      </c>
      <c r="AO21" s="38" t="n">
        <v>154867.31</v>
      </c>
      <c r="AP21" s="38" t="n">
        <v>316367.75</v>
      </c>
      <c r="AQ21" s="38" t="n">
        <v>2855785.17</v>
      </c>
      <c r="AR21" s="38" t="n"/>
      <c r="AS21" s="38" t="n">
        <v>190261.69</v>
      </c>
      <c r="AT21" s="38" t="n">
        <v>0</v>
      </c>
      <c r="AU21" s="38" t="n">
        <v>69495.67999999999</v>
      </c>
      <c r="AV21" s="38" t="n">
        <v>215618</v>
      </c>
      <c r="AW21" s="38" t="n">
        <v>52931.64</v>
      </c>
      <c r="AX21" s="38" t="n">
        <v>60382.32</v>
      </c>
      <c r="AY21" s="38" t="n">
        <v>89355.49000000001</v>
      </c>
      <c r="AZ21" s="38" t="n"/>
    </row>
    <row r="22">
      <c r="A22" s="12" t="inlineStr">
        <is>
          <t>Production tax - Liquids</t>
        </is>
      </c>
      <c r="B22" s="14" t="n"/>
      <c r="C22" s="38" t="n">
        <v>135510.38</v>
      </c>
      <c r="D22" s="38" t="n">
        <v>278599.59</v>
      </c>
      <c r="E22" s="38" t="n">
        <v>411409.08</v>
      </c>
      <c r="F22" s="38" t="n">
        <v>470556.23</v>
      </c>
      <c r="G22" s="38" t="n">
        <v>664294.64</v>
      </c>
      <c r="H22" s="38" t="n">
        <v>446995.61</v>
      </c>
      <c r="I22" s="38" t="n">
        <v>648070.76</v>
      </c>
      <c r="J22" s="38" t="n">
        <v>779905.42</v>
      </c>
      <c r="K22" s="38" t="n">
        <v>1119540.77</v>
      </c>
      <c r="L22" s="38" t="n">
        <v>432059.74</v>
      </c>
      <c r="M22" s="38" t="n">
        <v>719605.22</v>
      </c>
      <c r="N22" s="38" t="n">
        <v>663871.23</v>
      </c>
      <c r="O22" s="38" t="n">
        <v>6770418.67</v>
      </c>
      <c r="P22" s="38" t="n"/>
      <c r="Q22" s="38" t="n">
        <v>596352.1800000001</v>
      </c>
      <c r="R22" s="38" t="n">
        <v>673746.12</v>
      </c>
      <c r="S22" s="38" t="n">
        <v>566784.79</v>
      </c>
      <c r="T22" s="38" t="n">
        <v>515323.97</v>
      </c>
      <c r="U22" s="38" t="n">
        <v>334404.67</v>
      </c>
      <c r="V22" s="38" t="n">
        <v>528347.5600000001</v>
      </c>
      <c r="W22" s="38" t="n">
        <v>378552.4</v>
      </c>
      <c r="X22" s="38" t="n">
        <v>264717.27</v>
      </c>
      <c r="Y22" s="38" t="n">
        <v>436213.97</v>
      </c>
      <c r="Z22" s="38" t="n">
        <v>403287.42</v>
      </c>
      <c r="AA22" s="38" t="n">
        <v>465369.46</v>
      </c>
      <c r="AB22" s="38" t="n">
        <v>463297.67</v>
      </c>
      <c r="AC22" s="38" t="n">
        <v>5626397.49</v>
      </c>
      <c r="AD22" s="38" t="n"/>
      <c r="AE22" s="38" t="n">
        <v>526273.26</v>
      </c>
      <c r="AF22" s="38" t="n">
        <v>396749.76</v>
      </c>
      <c r="AG22" s="38" t="n">
        <v>213127.35</v>
      </c>
      <c r="AH22" s="38" t="n">
        <v>395668.27</v>
      </c>
      <c r="AI22" s="38" t="n">
        <v>300499.75</v>
      </c>
      <c r="AJ22" s="38" t="n">
        <v>223705.26</v>
      </c>
      <c r="AK22" s="38" t="n">
        <v>326528.14</v>
      </c>
      <c r="AL22" s="38" t="n">
        <v>399465.77</v>
      </c>
      <c r="AM22" s="38" t="n">
        <v>262060.29</v>
      </c>
      <c r="AN22" s="38" t="n">
        <v>460676.63</v>
      </c>
      <c r="AO22" s="38" t="n">
        <v>177855.51</v>
      </c>
      <c r="AP22" s="38" t="n">
        <v>141289.59</v>
      </c>
      <c r="AQ22" s="38" t="n">
        <v>3823899.58</v>
      </c>
      <c r="AR22" s="38" t="n"/>
      <c r="AS22" s="38" t="n">
        <v>187327.05</v>
      </c>
      <c r="AT22" s="38" t="n">
        <v>241929.59</v>
      </c>
      <c r="AU22" s="38" t="n">
        <v>189454.71</v>
      </c>
      <c r="AV22" s="38" t="n">
        <v>278538.66</v>
      </c>
      <c r="AW22" s="38" t="n">
        <v>160168.36</v>
      </c>
      <c r="AX22" s="38" t="n">
        <v>215119.89</v>
      </c>
      <c r="AY22" s="38" t="n">
        <v>88928.08</v>
      </c>
      <c r="AZ22" s="38" t="n"/>
    </row>
    <row r="23">
      <c r="A23" s="8" t="inlineStr">
        <is>
          <t>Total Production Tax</t>
        </is>
      </c>
      <c r="B23" s="8" t="n"/>
      <c r="C23" s="38" t="n">
        <v>1247141.28</v>
      </c>
      <c r="D23" s="38" t="n">
        <v>2439568.63</v>
      </c>
      <c r="E23" s="38" t="n">
        <v>2801803.05</v>
      </c>
      <c r="F23" s="38" t="n">
        <v>3626601.61</v>
      </c>
      <c r="G23" s="38" t="n">
        <v>5279075.5</v>
      </c>
      <c r="H23" s="38" t="n">
        <v>4934593.23</v>
      </c>
      <c r="I23" s="38" t="n">
        <v>5376615.79</v>
      </c>
      <c r="J23" s="38" t="n">
        <v>6565738.76</v>
      </c>
      <c r="K23" s="38" t="n">
        <v>7077906.62</v>
      </c>
      <c r="L23" s="38" t="n">
        <v>4864089.71</v>
      </c>
      <c r="M23" s="38" t="n">
        <v>5333985.51</v>
      </c>
      <c r="N23" s="38" t="n">
        <v>4685493.04</v>
      </c>
      <c r="O23" s="38" t="n">
        <v>54232612.74</v>
      </c>
      <c r="P23" s="38" t="n"/>
      <c r="Q23" s="38" t="n">
        <v>4500353.85</v>
      </c>
      <c r="R23" s="38" t="n">
        <v>4833992.72</v>
      </c>
      <c r="S23" s="38" t="n">
        <v>4993068.74</v>
      </c>
      <c r="T23" s="38" t="n">
        <v>3437836.83</v>
      </c>
      <c r="U23" s="38" t="n">
        <v>3649440.95</v>
      </c>
      <c r="V23" s="38" t="n">
        <v>3095349.21</v>
      </c>
      <c r="W23" s="38" t="n">
        <v>3027290.23</v>
      </c>
      <c r="X23" s="38" t="n">
        <v>3367150.51</v>
      </c>
      <c r="Y23" s="38" t="n">
        <v>2932356.54</v>
      </c>
      <c r="Z23" s="38" t="n">
        <v>2901592.23</v>
      </c>
      <c r="AA23" s="38" t="n">
        <v>3284210.23</v>
      </c>
      <c r="AB23" s="38" t="n">
        <v>3079079.17</v>
      </c>
      <c r="AC23" s="38" t="n">
        <v>43101721.21</v>
      </c>
      <c r="AD23" s="38" t="n"/>
      <c r="AE23" s="38" t="n">
        <v>3274918.87</v>
      </c>
      <c r="AF23" s="38" t="n">
        <v>3298010.71</v>
      </c>
      <c r="AG23" s="38" t="n">
        <v>2441010.39</v>
      </c>
      <c r="AH23" s="38" t="n">
        <v>2401387.62</v>
      </c>
      <c r="AI23" s="38" t="n">
        <v>2692976.36</v>
      </c>
      <c r="AJ23" s="38" t="n">
        <v>2680030.79</v>
      </c>
      <c r="AK23" s="38" t="n">
        <v>2364240.64</v>
      </c>
      <c r="AL23" s="38" t="n">
        <v>2509123.68</v>
      </c>
      <c r="AM23" s="38" t="n">
        <v>2060501.36</v>
      </c>
      <c r="AN23" s="38" t="n">
        <v>2335638.31</v>
      </c>
      <c r="AO23" s="38" t="n">
        <v>1948080.89</v>
      </c>
      <c r="AP23" s="38" t="n">
        <v>1855490.54</v>
      </c>
      <c r="AQ23" s="38" t="n">
        <v>29861410.16</v>
      </c>
      <c r="AR23" s="38" t="n"/>
      <c r="AS23" s="38" t="n">
        <v>1447280.46</v>
      </c>
      <c r="AT23" s="38" t="n">
        <v>1433389.17</v>
      </c>
      <c r="AU23" s="38" t="n">
        <v>1570112.77</v>
      </c>
      <c r="AV23" s="38" t="n">
        <v>1904076.47</v>
      </c>
      <c r="AW23" s="38" t="n">
        <v>1867396.85</v>
      </c>
      <c r="AX23" s="38" t="n">
        <v>1312986.06</v>
      </c>
      <c r="AY23" s="38" t="n">
        <v>1269722.1</v>
      </c>
      <c r="AZ23" s="38" t="n"/>
    </row>
    <row r="24"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</row>
    <row r="25">
      <c r="A25" s="8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</row>
    <row r="26">
      <c r="A26" s="10" t="inlineStr">
        <is>
          <t>Revenue Deducts - Oil</t>
        </is>
      </c>
      <c r="C26" s="38" t="n">
        <v>176882.77</v>
      </c>
      <c r="D26" s="38" t="n">
        <v>811991.24</v>
      </c>
      <c r="E26" s="38" t="n">
        <v>665971.92</v>
      </c>
      <c r="F26" s="38" t="n">
        <v>1369743.51</v>
      </c>
      <c r="G26" s="38" t="n">
        <v>968033.37</v>
      </c>
      <c r="H26" s="38" t="n">
        <v>1563480.89</v>
      </c>
      <c r="I26" s="38" t="n">
        <v>1665609.34</v>
      </c>
      <c r="J26" s="38" t="n">
        <v>1983120.05</v>
      </c>
      <c r="K26" s="38" t="n">
        <v>1807445.56</v>
      </c>
      <c r="L26" s="38" t="n">
        <v>1934689.42</v>
      </c>
      <c r="M26" s="38" t="n">
        <v>967930.8100000001</v>
      </c>
      <c r="N26" s="38" t="n">
        <v>1067637.56</v>
      </c>
      <c r="O26" s="38" t="n">
        <v>14982536.44</v>
      </c>
      <c r="P26" s="38" t="n"/>
      <c r="Q26" s="38" t="n">
        <v>987893.96</v>
      </c>
      <c r="R26" s="38" t="n">
        <v>1205143.65</v>
      </c>
      <c r="S26" s="38" t="n">
        <v>1340439.39</v>
      </c>
      <c r="T26" s="38" t="n">
        <v>748891.35</v>
      </c>
      <c r="U26" s="38" t="n">
        <v>1213379.19</v>
      </c>
      <c r="V26" s="38" t="n">
        <v>796847.54</v>
      </c>
      <c r="W26" s="38" t="n">
        <v>1284502.37</v>
      </c>
      <c r="X26" s="38" t="n">
        <v>453027.61</v>
      </c>
      <c r="Y26" s="38" t="n">
        <v>571917.13</v>
      </c>
      <c r="Z26" s="38" t="n">
        <v>881963.17</v>
      </c>
      <c r="AA26" s="38" t="n">
        <v>538006.96</v>
      </c>
      <c r="AB26" s="38" t="n">
        <v>502582.69</v>
      </c>
      <c r="AC26" s="38" t="n">
        <v>10524595</v>
      </c>
      <c r="AD26" s="38" t="n"/>
      <c r="AE26" s="38" t="n">
        <v>544656.46</v>
      </c>
      <c r="AF26" s="38" t="n">
        <v>1130538.61</v>
      </c>
      <c r="AG26" s="38" t="n">
        <v>453179.77</v>
      </c>
      <c r="AH26" s="38" t="n">
        <v>884056.2</v>
      </c>
      <c r="AI26" s="38" t="n">
        <v>407062.73</v>
      </c>
      <c r="AJ26" s="38" t="n">
        <v>424528</v>
      </c>
      <c r="AK26" s="38" t="n">
        <v>397984.61</v>
      </c>
      <c r="AL26" s="38" t="n">
        <v>377457.91</v>
      </c>
      <c r="AM26" s="38" t="n">
        <v>607432.9300000001</v>
      </c>
      <c r="AN26" s="38" t="n">
        <v>837799.73</v>
      </c>
      <c r="AO26" s="38" t="n">
        <v>400735.24</v>
      </c>
      <c r="AP26" s="38" t="n">
        <v>497373.77</v>
      </c>
      <c r="AQ26" s="38" t="n">
        <v>6962805.97</v>
      </c>
      <c r="AR26" s="38" t="n"/>
      <c r="AS26" s="38" t="n">
        <v>520622.51</v>
      </c>
      <c r="AT26" s="38" t="n">
        <v>283874.81</v>
      </c>
      <c r="AU26" s="38" t="n">
        <v>261016.66</v>
      </c>
      <c r="AV26" s="38" t="n">
        <v>614782.53</v>
      </c>
      <c r="AW26" s="38" t="n">
        <v>496236.27</v>
      </c>
      <c r="AX26" s="38" t="n">
        <v>287796.87</v>
      </c>
      <c r="AY26" s="38" t="n">
        <v>418915.58</v>
      </c>
      <c r="AZ26" s="38" t="n"/>
    </row>
    <row r="27">
      <c r="A27" s="10" t="inlineStr">
        <is>
          <t>Revenue Deducts - Gas</t>
        </is>
      </c>
      <c r="C27" s="38" t="n">
        <v>482218.23</v>
      </c>
      <c r="D27" s="38" t="n">
        <v>697386.34</v>
      </c>
      <c r="E27" s="38" t="n">
        <v>430121.93</v>
      </c>
      <c r="F27" s="38" t="n">
        <v>1741555.28</v>
      </c>
      <c r="G27" s="38" t="n">
        <v>1362185.14</v>
      </c>
      <c r="H27" s="38" t="n">
        <v>2145363.25</v>
      </c>
      <c r="I27" s="38" t="n">
        <v>1339867.52</v>
      </c>
      <c r="J27" s="38" t="n">
        <v>2101335.38</v>
      </c>
      <c r="K27" s="38" t="n">
        <v>2719173.59</v>
      </c>
      <c r="L27" s="38" t="n">
        <v>2311863.29</v>
      </c>
      <c r="M27" s="38" t="n">
        <v>727009.39</v>
      </c>
      <c r="N27" s="38" t="n">
        <v>1703244.02</v>
      </c>
      <c r="O27" s="38" t="n">
        <v>17761323.35</v>
      </c>
      <c r="P27" s="38" t="n"/>
      <c r="Q27" s="38" t="n">
        <v>2548813.94</v>
      </c>
      <c r="R27" s="38" t="n">
        <v>760860.78</v>
      </c>
      <c r="S27" s="38" t="n">
        <v>763843.23</v>
      </c>
      <c r="T27" s="38" t="n">
        <v>995409.5</v>
      </c>
      <c r="U27" s="38" t="n">
        <v>1387164.62</v>
      </c>
      <c r="V27" s="38" t="n">
        <v>681033.59</v>
      </c>
      <c r="W27" s="38" t="n">
        <v>515931.86</v>
      </c>
      <c r="X27" s="38" t="n">
        <v>1894514.27</v>
      </c>
      <c r="Y27" s="38" t="n">
        <v>1424443.1</v>
      </c>
      <c r="Z27" s="38" t="n">
        <v>1467519.15</v>
      </c>
      <c r="AA27" s="38" t="n">
        <v>579294.78</v>
      </c>
      <c r="AB27" s="38" t="n">
        <v>932103.26</v>
      </c>
      <c r="AC27" s="38" t="n">
        <v>13950932.08</v>
      </c>
      <c r="AD27" s="38" t="n"/>
      <c r="AE27" s="38" t="n">
        <v>1060436.05</v>
      </c>
      <c r="AF27" s="38" t="n">
        <v>1128734.61</v>
      </c>
      <c r="AG27" s="38" t="n">
        <v>1063732.71</v>
      </c>
      <c r="AH27" s="38" t="n">
        <v>1317428.56</v>
      </c>
      <c r="AI27" s="38" t="n">
        <v>417894.13</v>
      </c>
      <c r="AJ27" s="38" t="n">
        <v>1415867.88</v>
      </c>
      <c r="AK27" s="38" t="n">
        <v>513823.81</v>
      </c>
      <c r="AL27" s="38" t="n">
        <v>921598.67</v>
      </c>
      <c r="AM27" s="38" t="n">
        <v>351265.14</v>
      </c>
      <c r="AN27" s="38" t="n">
        <v>1144123.63</v>
      </c>
      <c r="AO27" s="38" t="n">
        <v>739048.3199999999</v>
      </c>
      <c r="AP27" s="38" t="n">
        <v>876952.91</v>
      </c>
      <c r="AQ27" s="38" t="n">
        <v>10950906.41</v>
      </c>
      <c r="AR27" s="38" t="n"/>
      <c r="AS27" s="38" t="n">
        <v>429537.63</v>
      </c>
      <c r="AT27" s="38" t="n">
        <v>420795.92</v>
      </c>
      <c r="AU27" s="38" t="n">
        <v>526934.05</v>
      </c>
      <c r="AV27" s="38" t="n">
        <v>913360.21</v>
      </c>
      <c r="AW27" s="38" t="n">
        <v>281738.88</v>
      </c>
      <c r="AX27" s="38" t="n">
        <v>415463.86</v>
      </c>
      <c r="AY27" s="38" t="n">
        <v>389867.47</v>
      </c>
      <c r="AZ27" s="38" t="n"/>
    </row>
    <row r="28">
      <c r="A28" s="12" t="inlineStr">
        <is>
          <t>Revenue Deducts - Liquids</t>
        </is>
      </c>
      <c r="B28" s="14" t="n"/>
      <c r="C28" s="38" t="n">
        <v>96335.78999999999</v>
      </c>
      <c r="D28" s="38" t="n">
        <v>259138.41</v>
      </c>
      <c r="E28" s="38" t="n">
        <v>297043.35</v>
      </c>
      <c r="F28" s="38" t="n">
        <v>406024.18</v>
      </c>
      <c r="G28" s="38" t="n">
        <v>604556.08</v>
      </c>
      <c r="H28" s="38" t="n">
        <v>417167.68</v>
      </c>
      <c r="I28" s="38" t="n">
        <v>497883.58</v>
      </c>
      <c r="J28" s="38" t="n">
        <v>667021.42</v>
      </c>
      <c r="K28" s="38" t="n">
        <v>692640.1899999999</v>
      </c>
      <c r="L28" s="38" t="n">
        <v>688797.3199999999</v>
      </c>
      <c r="M28" s="38" t="n">
        <v>539363.78</v>
      </c>
      <c r="N28" s="38" t="n">
        <v>417251.93</v>
      </c>
      <c r="O28" s="38" t="n">
        <v>5583223.74</v>
      </c>
      <c r="P28" s="38" t="n"/>
      <c r="Q28" s="38" t="n">
        <v>287303.13</v>
      </c>
      <c r="R28" s="38" t="n">
        <v>237319.38</v>
      </c>
      <c r="S28" s="38" t="n">
        <v>459610.76</v>
      </c>
      <c r="T28" s="38" t="n">
        <v>420569.61</v>
      </c>
      <c r="U28" s="38" t="n">
        <v>365900.45</v>
      </c>
      <c r="V28" s="38" t="n">
        <v>299186.4</v>
      </c>
      <c r="W28" s="38" t="n">
        <v>351154.01</v>
      </c>
      <c r="X28" s="38" t="n">
        <v>491737.39</v>
      </c>
      <c r="Y28" s="38" t="n">
        <v>382318.13</v>
      </c>
      <c r="Z28" s="38" t="n">
        <v>413351.27</v>
      </c>
      <c r="AA28" s="38" t="n">
        <v>338458.13</v>
      </c>
      <c r="AB28" s="38" t="n">
        <v>152140.4</v>
      </c>
      <c r="AC28" s="38" t="n">
        <v>4199049.05</v>
      </c>
      <c r="AD28" s="38" t="n"/>
      <c r="AE28" s="38" t="n">
        <v>300249.12</v>
      </c>
      <c r="AF28" s="38" t="n">
        <v>349380.49</v>
      </c>
      <c r="AG28" s="38" t="n">
        <v>160331.27</v>
      </c>
      <c r="AH28" s="38" t="n">
        <v>426386.53</v>
      </c>
      <c r="AI28" s="38" t="n">
        <v>201115.29</v>
      </c>
      <c r="AJ28" s="38" t="n">
        <v>311214.67</v>
      </c>
      <c r="AK28" s="38" t="n">
        <v>259788.62</v>
      </c>
      <c r="AL28" s="38" t="n">
        <v>218872.64</v>
      </c>
      <c r="AM28" s="38" t="n">
        <v>264898.67</v>
      </c>
      <c r="AN28" s="38" t="n">
        <v>330916.12</v>
      </c>
      <c r="AO28" s="38" t="n">
        <v>141555</v>
      </c>
      <c r="AP28" s="38" t="n">
        <v>145964.74</v>
      </c>
      <c r="AQ28" s="38" t="n">
        <v>3110673.14</v>
      </c>
      <c r="AR28" s="38" t="n"/>
      <c r="AS28" s="38" t="n">
        <v>127063.26</v>
      </c>
      <c r="AT28" s="38" t="n">
        <v>154022.49</v>
      </c>
      <c r="AU28" s="38" t="n">
        <v>185471.98</v>
      </c>
      <c r="AV28" s="38" t="n">
        <v>250393.45</v>
      </c>
      <c r="AW28" s="38" t="n">
        <v>190519.31</v>
      </c>
      <c r="AX28" s="38" t="n">
        <v>147848.93</v>
      </c>
      <c r="AY28" s="38" t="n">
        <v>96763.89</v>
      </c>
      <c r="AZ28" s="38" t="n"/>
    </row>
    <row r="29">
      <c r="A29" s="8" t="inlineStr">
        <is>
          <t>Total Deductions</t>
        </is>
      </c>
      <c r="B29" s="8" t="n"/>
      <c r="C29" s="38" t="n">
        <v>755436.79</v>
      </c>
      <c r="D29" s="38" t="n">
        <v>1768515.99</v>
      </c>
      <c r="E29" s="38" t="n">
        <v>1393137.2</v>
      </c>
      <c r="F29" s="38" t="n">
        <v>3517322.97</v>
      </c>
      <c r="G29" s="38" t="n">
        <v>2934774.6</v>
      </c>
      <c r="H29" s="38" t="n">
        <v>4126011.83</v>
      </c>
      <c r="I29" s="38" t="n">
        <v>3503360.45</v>
      </c>
      <c r="J29" s="38" t="n">
        <v>4751476.85</v>
      </c>
      <c r="K29" s="38" t="n">
        <v>5219259.34</v>
      </c>
      <c r="L29" s="38" t="n">
        <v>4935350.02</v>
      </c>
      <c r="M29" s="38" t="n">
        <v>2234303.99</v>
      </c>
      <c r="N29" s="38" t="n">
        <v>3188133.5</v>
      </c>
      <c r="O29" s="38" t="n">
        <v>38327083.53</v>
      </c>
      <c r="P29" s="38" t="n"/>
      <c r="Q29" s="38" t="n">
        <v>3824011.04</v>
      </c>
      <c r="R29" s="38" t="n">
        <v>2203323.82</v>
      </c>
      <c r="S29" s="38" t="n">
        <v>2563893.38</v>
      </c>
      <c r="T29" s="38" t="n">
        <v>2164870.46</v>
      </c>
      <c r="U29" s="38" t="n">
        <v>2966444.25</v>
      </c>
      <c r="V29" s="38" t="n">
        <v>1777067.52</v>
      </c>
      <c r="W29" s="38" t="n">
        <v>2151588.24</v>
      </c>
      <c r="X29" s="38" t="n">
        <v>2839279.26</v>
      </c>
      <c r="Y29" s="38" t="n">
        <v>2378678.36</v>
      </c>
      <c r="Z29" s="38" t="n">
        <v>2762833.59</v>
      </c>
      <c r="AA29" s="38" t="n">
        <v>1455759.87</v>
      </c>
      <c r="AB29" s="38" t="n">
        <v>1586826.34</v>
      </c>
      <c r="AC29" s="38" t="n">
        <v>28674576.13</v>
      </c>
      <c r="AD29" s="38" t="n"/>
      <c r="AE29" s="38" t="n">
        <v>1905341.63</v>
      </c>
      <c r="AF29" s="38" t="n">
        <v>2608653.71</v>
      </c>
      <c r="AG29" s="38" t="n">
        <v>1677243.75</v>
      </c>
      <c r="AH29" s="38" t="n">
        <v>2627871.29</v>
      </c>
      <c r="AI29" s="38" t="n">
        <v>1026072.14</v>
      </c>
      <c r="AJ29" s="38" t="n">
        <v>2151610.54</v>
      </c>
      <c r="AK29" s="38" t="n">
        <v>1171597.04</v>
      </c>
      <c r="AL29" s="38" t="n">
        <v>1517929.22</v>
      </c>
      <c r="AM29" s="38" t="n">
        <v>1223596.73</v>
      </c>
      <c r="AN29" s="38" t="n">
        <v>2312839.48</v>
      </c>
      <c r="AO29" s="38" t="n">
        <v>1281338.56</v>
      </c>
      <c r="AP29" s="38" t="n">
        <v>1520291.42</v>
      </c>
      <c r="AQ29" s="38" t="n">
        <v>21024385.52</v>
      </c>
      <c r="AR29" s="38" t="n"/>
      <c r="AS29" s="38" t="n">
        <v>1077223.41</v>
      </c>
      <c r="AT29" s="38" t="n">
        <v>858693.22</v>
      </c>
      <c r="AU29" s="38" t="n">
        <v>973422.6899999999</v>
      </c>
      <c r="AV29" s="38" t="n">
        <v>1778536.2</v>
      </c>
      <c r="AW29" s="38" t="n">
        <v>968494.47</v>
      </c>
      <c r="AX29" s="38" t="n">
        <v>851109.67</v>
      </c>
      <c r="AY29" s="38" t="n">
        <v>905546.95</v>
      </c>
      <c r="AZ29" s="38" t="n"/>
    </row>
    <row r="30"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</row>
    <row r="31">
      <c r="A31" s="8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</row>
    <row r="32">
      <c r="A32" s="10" t="inlineStr">
        <is>
          <t>9001 - LOE - CHARTS, METERS &amp; AUTOM</t>
        </is>
      </c>
      <c r="C32" s="38" t="n">
        <v>341995.74</v>
      </c>
      <c r="D32" s="38" t="n">
        <v>969760.27</v>
      </c>
      <c r="E32" s="38" t="n">
        <v>910855.5</v>
      </c>
      <c r="F32" s="38" t="n">
        <v>1559985.98</v>
      </c>
      <c r="G32" s="38" t="n">
        <v>1640054.28</v>
      </c>
      <c r="H32" s="38" t="n">
        <v>1475636.99</v>
      </c>
      <c r="I32" s="38" t="n">
        <v>1453921.45</v>
      </c>
      <c r="J32" s="38" t="n">
        <v>3042460.11</v>
      </c>
      <c r="K32" s="38" t="n">
        <v>3335266.5</v>
      </c>
      <c r="L32" s="38" t="n">
        <v>1838936.23</v>
      </c>
      <c r="M32" s="38" t="n">
        <v>2212658.88</v>
      </c>
      <c r="N32" s="38" t="n">
        <v>1947506.54</v>
      </c>
      <c r="O32" s="38" t="n">
        <v>20729038.48</v>
      </c>
      <c r="P32" s="38" t="n"/>
      <c r="Q32" s="38" t="n">
        <v>2268526.62</v>
      </c>
      <c r="R32" s="38" t="n">
        <v>2505699.82</v>
      </c>
      <c r="S32" s="38" t="n">
        <v>2550590.97</v>
      </c>
      <c r="T32" s="38" t="n">
        <v>1174066.11</v>
      </c>
      <c r="U32" s="38" t="n">
        <v>1674352.54</v>
      </c>
      <c r="V32" s="38" t="n">
        <v>1261223.75</v>
      </c>
      <c r="W32" s="38" t="n">
        <v>1559450.35</v>
      </c>
      <c r="X32" s="38" t="n">
        <v>1535370.4</v>
      </c>
      <c r="Y32" s="38" t="n">
        <v>902806.02</v>
      </c>
      <c r="Z32" s="38" t="n">
        <v>861120.12</v>
      </c>
      <c r="AA32" s="38" t="n">
        <v>1144072.43</v>
      </c>
      <c r="AB32" s="38" t="n">
        <v>1324837.6</v>
      </c>
      <c r="AC32" s="38" t="n">
        <v>18762116.72</v>
      </c>
      <c r="AD32" s="38" t="n"/>
      <c r="AE32" s="38" t="n">
        <v>1106123.9</v>
      </c>
      <c r="AF32" s="38" t="n">
        <v>1063232.5</v>
      </c>
      <c r="AG32" s="38" t="n">
        <v>764624.52</v>
      </c>
      <c r="AH32" s="38" t="n">
        <v>990198.59</v>
      </c>
      <c r="AI32" s="38" t="n">
        <v>1380504.18</v>
      </c>
      <c r="AJ32" s="38" t="n">
        <v>1322277.64</v>
      </c>
      <c r="AK32" s="38" t="n">
        <v>1191159.86</v>
      </c>
      <c r="AL32" s="38" t="n">
        <v>707389.8199999999</v>
      </c>
      <c r="AM32" s="38" t="n">
        <v>1005685.47</v>
      </c>
      <c r="AN32" s="38" t="n">
        <v>832352.5600000001</v>
      </c>
      <c r="AO32" s="38" t="n">
        <v>688609.87</v>
      </c>
      <c r="AP32" s="38" t="n">
        <v>768677.29</v>
      </c>
      <c r="AQ32" s="38" t="n">
        <v>11820836.21</v>
      </c>
      <c r="AR32" s="38" t="n"/>
      <c r="AS32" s="38" t="n">
        <v>594858.16</v>
      </c>
      <c r="AT32" s="38" t="n">
        <v>572872.64</v>
      </c>
      <c r="AU32" s="38" t="n">
        <v>515079.48</v>
      </c>
      <c r="AV32" s="38" t="n">
        <v>671475.26</v>
      </c>
      <c r="AW32" s="38" t="n">
        <v>833528.61</v>
      </c>
      <c r="AX32" s="38" t="n">
        <v>385372.9</v>
      </c>
      <c r="AY32" s="38" t="n">
        <v>420910.12</v>
      </c>
      <c r="AZ32" s="38" t="n"/>
    </row>
    <row r="33">
      <c r="A33" s="10" t="inlineStr">
        <is>
          <t>9002 - LOE - CHEMICALS &amp; TREATING</t>
        </is>
      </c>
      <c r="C33" s="38" t="n">
        <v>142275.26</v>
      </c>
      <c r="D33" s="38" t="n">
        <v>179294.37</v>
      </c>
      <c r="E33" s="38" t="n">
        <v>327994.55</v>
      </c>
      <c r="F33" s="38" t="n">
        <v>442911.45</v>
      </c>
      <c r="G33" s="38" t="n">
        <v>578030.87</v>
      </c>
      <c r="H33" s="38" t="n">
        <v>428551.43</v>
      </c>
      <c r="I33" s="38" t="n">
        <v>611783.15</v>
      </c>
      <c r="J33" s="38" t="n">
        <v>520390.97</v>
      </c>
      <c r="K33" s="38" t="n">
        <v>636846.39</v>
      </c>
      <c r="L33" s="38" t="n">
        <v>576221.0699999999</v>
      </c>
      <c r="M33" s="38" t="n">
        <v>468997.25</v>
      </c>
      <c r="N33" s="38" t="n">
        <v>408490.07</v>
      </c>
      <c r="O33" s="38" t="n">
        <v>5321786.84</v>
      </c>
      <c r="P33" s="38" t="n"/>
      <c r="Q33" s="38" t="n">
        <v>393993.28</v>
      </c>
      <c r="R33" s="38" t="n">
        <v>441987.95</v>
      </c>
      <c r="S33" s="38" t="n">
        <v>498669.4</v>
      </c>
      <c r="T33" s="38" t="n">
        <v>414894.03</v>
      </c>
      <c r="U33" s="38" t="n">
        <v>299083.35</v>
      </c>
      <c r="V33" s="38" t="n">
        <v>374192.74</v>
      </c>
      <c r="W33" s="38" t="n">
        <v>359744.21</v>
      </c>
      <c r="X33" s="38" t="n">
        <v>254897.95</v>
      </c>
      <c r="Y33" s="38" t="n">
        <v>377293.99</v>
      </c>
      <c r="Z33" s="38" t="n">
        <v>262636.48</v>
      </c>
      <c r="AA33" s="38" t="n">
        <v>271381.97</v>
      </c>
      <c r="AB33" s="38" t="n">
        <v>268755.42</v>
      </c>
      <c r="AC33" s="38" t="n">
        <v>4217530.8</v>
      </c>
      <c r="AD33" s="38" t="n"/>
      <c r="AE33" s="38" t="n">
        <v>254467.87</v>
      </c>
      <c r="AF33" s="38" t="n">
        <v>324759.71</v>
      </c>
      <c r="AG33" s="38" t="n">
        <v>271558.84</v>
      </c>
      <c r="AH33" s="38" t="n">
        <v>225614</v>
      </c>
      <c r="AI33" s="38" t="n">
        <v>213527.51</v>
      </c>
      <c r="AJ33" s="38" t="n">
        <v>206149.66</v>
      </c>
      <c r="AK33" s="38" t="n">
        <v>285909.01</v>
      </c>
      <c r="AL33" s="38" t="n">
        <v>293360.21</v>
      </c>
      <c r="AM33" s="38" t="n">
        <v>208255.66</v>
      </c>
      <c r="AN33" s="38" t="n">
        <v>180526.95</v>
      </c>
      <c r="AO33" s="38" t="n">
        <v>146367.12</v>
      </c>
      <c r="AP33" s="38" t="n">
        <v>144989.78</v>
      </c>
      <c r="AQ33" s="38" t="n">
        <v>2755486.32</v>
      </c>
      <c r="AR33" s="38" t="n"/>
      <c r="AS33" s="38" t="n">
        <v>146651.67</v>
      </c>
      <c r="AT33" s="38" t="n">
        <v>146278.95</v>
      </c>
      <c r="AU33" s="38" t="n">
        <v>120464.23</v>
      </c>
      <c r="AV33" s="38" t="n">
        <v>229799.01</v>
      </c>
      <c r="AW33" s="38" t="n">
        <v>226233.07</v>
      </c>
      <c r="AX33" s="38" t="n">
        <v>115789.51</v>
      </c>
      <c r="AY33" s="38" t="n">
        <v>110769.86</v>
      </c>
      <c r="AZ33" s="38" t="n"/>
    </row>
    <row r="34">
      <c r="A34" s="15" t="inlineStr">
        <is>
          <t>9003 - LOE - COMPANY VEHICLE</t>
        </is>
      </c>
      <c r="C34" s="38" t="n">
        <v>236356.25</v>
      </c>
      <c r="D34" s="38" t="n">
        <v>427551.64</v>
      </c>
      <c r="E34" s="38" t="n">
        <v>570769.03</v>
      </c>
      <c r="F34" s="38" t="n">
        <v>1029787.7</v>
      </c>
      <c r="G34" s="38" t="n">
        <v>1432165.28</v>
      </c>
      <c r="H34" s="38" t="n">
        <v>1496802.06</v>
      </c>
      <c r="I34" s="38" t="n">
        <v>930244.59</v>
      </c>
      <c r="J34" s="38" t="n">
        <v>1672491.37</v>
      </c>
      <c r="K34" s="38" t="n">
        <v>1390024.08</v>
      </c>
      <c r="L34" s="38" t="n">
        <v>1431123.44</v>
      </c>
      <c r="M34" s="38" t="n">
        <v>1588232.11</v>
      </c>
      <c r="N34" s="38" t="n">
        <v>1079759.29</v>
      </c>
      <c r="O34" s="38" t="n">
        <v>13285306.84</v>
      </c>
      <c r="P34" s="38" t="n"/>
      <c r="Q34" s="38" t="n">
        <v>1091403.79</v>
      </c>
      <c r="R34" s="38" t="n">
        <v>861005.25</v>
      </c>
      <c r="S34" s="38" t="n">
        <v>958298.88</v>
      </c>
      <c r="T34" s="38" t="n">
        <v>792495.92</v>
      </c>
      <c r="U34" s="38" t="n">
        <v>682161.15</v>
      </c>
      <c r="V34" s="38" t="n">
        <v>712063.35</v>
      </c>
      <c r="W34" s="38" t="n">
        <v>842705.95</v>
      </c>
      <c r="X34" s="38" t="n">
        <v>571783.89</v>
      </c>
      <c r="Y34" s="38" t="n">
        <v>860086</v>
      </c>
      <c r="Z34" s="38" t="n">
        <v>705687.5600000001</v>
      </c>
      <c r="AA34" s="38" t="n">
        <v>846851.64</v>
      </c>
      <c r="AB34" s="38" t="n">
        <v>814666.51</v>
      </c>
      <c r="AC34" s="38" t="n">
        <v>9739209.890000001</v>
      </c>
      <c r="AD34" s="38" t="n"/>
      <c r="AE34" s="38" t="n">
        <v>570804.74</v>
      </c>
      <c r="AF34" s="38" t="n">
        <v>1026602.71</v>
      </c>
      <c r="AG34" s="38" t="n">
        <v>509598.8</v>
      </c>
      <c r="AH34" s="38" t="n">
        <v>752646.0699999999</v>
      </c>
      <c r="AI34" s="38" t="n">
        <v>636445.1899999999</v>
      </c>
      <c r="AJ34" s="38" t="n">
        <v>511114.9</v>
      </c>
      <c r="AK34" s="38" t="n">
        <v>483813.86</v>
      </c>
      <c r="AL34" s="38" t="n">
        <v>437109.16</v>
      </c>
      <c r="AM34" s="38" t="n">
        <v>452686.63</v>
      </c>
      <c r="AN34" s="38" t="n">
        <v>580121.0699999999</v>
      </c>
      <c r="AO34" s="38" t="n">
        <v>616893.72</v>
      </c>
      <c r="AP34" s="38" t="n">
        <v>585573</v>
      </c>
      <c r="AQ34" s="38" t="n">
        <v>7163409.85</v>
      </c>
      <c r="AR34" s="38" t="n"/>
      <c r="AS34" s="38" t="n">
        <v>359249.61</v>
      </c>
      <c r="AT34" s="38" t="n">
        <v>419616.72</v>
      </c>
      <c r="AU34" s="38" t="n">
        <v>504256.44</v>
      </c>
      <c r="AV34" s="38" t="n">
        <v>411379.04</v>
      </c>
      <c r="AW34" s="38" t="n">
        <v>444801.03</v>
      </c>
      <c r="AX34" s="38" t="n">
        <v>255965.06</v>
      </c>
      <c r="AY34" s="38" t="n">
        <v>313522.71</v>
      </c>
      <c r="AZ34" s="38" t="n"/>
    </row>
    <row r="35">
      <c r="A35" s="15" t="inlineStr">
        <is>
          <t>9004 - LOE - COMPRESSION</t>
        </is>
      </c>
      <c r="C35" s="38" t="n">
        <v>363488.17</v>
      </c>
      <c r="D35" s="38" t="n">
        <v>579946.1800000001</v>
      </c>
      <c r="E35" s="38" t="n">
        <v>825729.4</v>
      </c>
      <c r="F35" s="38" t="n">
        <v>1408430.24</v>
      </c>
      <c r="G35" s="38" t="n">
        <v>1363905.11</v>
      </c>
      <c r="H35" s="38" t="n">
        <v>1670860.06</v>
      </c>
      <c r="I35" s="38" t="n">
        <v>1436923.8</v>
      </c>
      <c r="J35" s="38" t="n">
        <v>2198668.52</v>
      </c>
      <c r="K35" s="38" t="n">
        <v>2317976.12</v>
      </c>
      <c r="L35" s="38" t="n">
        <v>1684926.12</v>
      </c>
      <c r="M35" s="38" t="n">
        <v>1701284.98</v>
      </c>
      <c r="N35" s="38" t="n">
        <v>1767102.31</v>
      </c>
      <c r="O35" s="38" t="n">
        <v>17319241.04</v>
      </c>
      <c r="P35" s="38" t="n"/>
      <c r="Q35" s="38" t="n">
        <v>1426074.42</v>
      </c>
      <c r="R35" s="38" t="n">
        <v>1352953.7</v>
      </c>
      <c r="S35" s="38" t="n">
        <v>1918526.07</v>
      </c>
      <c r="T35" s="38" t="n">
        <v>1318065.57</v>
      </c>
      <c r="U35" s="38" t="n">
        <v>1069640.98</v>
      </c>
      <c r="V35" s="38" t="n">
        <v>719927.25</v>
      </c>
      <c r="W35" s="38" t="n">
        <v>997156.13</v>
      </c>
      <c r="X35" s="38" t="n">
        <v>702353.9</v>
      </c>
      <c r="Y35" s="38" t="n">
        <v>660483.63</v>
      </c>
      <c r="Z35" s="38" t="n">
        <v>1099200.66</v>
      </c>
      <c r="AA35" s="38" t="n">
        <v>1195433.73</v>
      </c>
      <c r="AB35" s="38" t="n">
        <v>946902.53</v>
      </c>
      <c r="AC35" s="38" t="n">
        <v>13406718.58</v>
      </c>
      <c r="AD35" s="38" t="n"/>
      <c r="AE35" s="38" t="n">
        <v>1243405.76</v>
      </c>
      <c r="AF35" s="38" t="n">
        <v>1013484.98</v>
      </c>
      <c r="AG35" s="38" t="n">
        <v>796477.46</v>
      </c>
      <c r="AH35" s="38" t="n">
        <v>825591.33</v>
      </c>
      <c r="AI35" s="38" t="n">
        <v>1070065.48</v>
      </c>
      <c r="AJ35" s="38" t="n">
        <v>1019350.75</v>
      </c>
      <c r="AK35" s="38" t="n">
        <v>566706.37</v>
      </c>
      <c r="AL35" s="38" t="n">
        <v>560419.33</v>
      </c>
      <c r="AM35" s="38" t="n">
        <v>606007.71</v>
      </c>
      <c r="AN35" s="38" t="n">
        <v>889645.86</v>
      </c>
      <c r="AO35" s="38" t="n">
        <v>499987.96</v>
      </c>
      <c r="AP35" s="38" t="n">
        <v>471729.28</v>
      </c>
      <c r="AQ35" s="38" t="n">
        <v>9562872.27</v>
      </c>
      <c r="AR35" s="38" t="n"/>
      <c r="AS35" s="38" t="n">
        <v>474352.9</v>
      </c>
      <c r="AT35" s="38" t="n">
        <v>362170.12</v>
      </c>
      <c r="AU35" s="38" t="n">
        <v>438634.63</v>
      </c>
      <c r="AV35" s="38" t="n">
        <v>573617.5</v>
      </c>
      <c r="AW35" s="38" t="n">
        <v>436825.4</v>
      </c>
      <c r="AX35" s="38" t="n">
        <v>428076.73</v>
      </c>
      <c r="AY35" s="38" t="n">
        <v>336222.76</v>
      </c>
      <c r="AZ35" s="38" t="n"/>
    </row>
    <row r="36">
      <c r="A36" s="10" t="inlineStr">
        <is>
          <t>9005 - LOE - CONTRACT LABOR</t>
        </is>
      </c>
      <c r="C36" s="38" t="n">
        <v>332765.54</v>
      </c>
      <c r="D36" s="38" t="n">
        <v>646043.73</v>
      </c>
      <c r="E36" s="38" t="n">
        <v>678482.91</v>
      </c>
      <c r="F36" s="38" t="n">
        <v>677848.11</v>
      </c>
      <c r="G36" s="38" t="n">
        <v>931557.4</v>
      </c>
      <c r="H36" s="38" t="n">
        <v>1324398.69</v>
      </c>
      <c r="I36" s="38" t="n">
        <v>1025760.17</v>
      </c>
      <c r="J36" s="38" t="n">
        <v>1471143.95</v>
      </c>
      <c r="K36" s="38" t="n">
        <v>1611537.32</v>
      </c>
      <c r="L36" s="38" t="n">
        <v>810258.42</v>
      </c>
      <c r="M36" s="38" t="n">
        <v>951454.11</v>
      </c>
      <c r="N36" s="38" t="n">
        <v>1301869.57</v>
      </c>
      <c r="O36" s="38" t="n">
        <v>11763119.92</v>
      </c>
      <c r="P36" s="38" t="n"/>
      <c r="Q36" s="38" t="n">
        <v>859274.28</v>
      </c>
      <c r="R36" s="38" t="n">
        <v>1040455.05</v>
      </c>
      <c r="S36" s="38" t="n">
        <v>1127898.53</v>
      </c>
      <c r="T36" s="38" t="n">
        <v>745016.1899999999</v>
      </c>
      <c r="U36" s="38" t="n">
        <v>995969.17</v>
      </c>
      <c r="V36" s="38" t="n">
        <v>777526.6800000001</v>
      </c>
      <c r="W36" s="38" t="n">
        <v>840083.37</v>
      </c>
      <c r="X36" s="38" t="n">
        <v>516527.07</v>
      </c>
      <c r="Y36" s="38" t="n">
        <v>666237.41</v>
      </c>
      <c r="Z36" s="38" t="n">
        <v>695548.26</v>
      </c>
      <c r="AA36" s="38" t="n">
        <v>792046.75</v>
      </c>
      <c r="AB36" s="38" t="n">
        <v>686426.51</v>
      </c>
      <c r="AC36" s="38" t="n">
        <v>9743009.289999999</v>
      </c>
      <c r="AD36" s="38" t="n"/>
      <c r="AE36" s="38" t="n">
        <v>818871.53</v>
      </c>
      <c r="AF36" s="38" t="n">
        <v>670140.85</v>
      </c>
      <c r="AG36" s="38" t="n">
        <v>513278.4</v>
      </c>
      <c r="AH36" s="38" t="n">
        <v>460729.52</v>
      </c>
      <c r="AI36" s="38" t="n">
        <v>703196.0699999999</v>
      </c>
      <c r="AJ36" s="38" t="n">
        <v>701646.1800000001</v>
      </c>
      <c r="AK36" s="38" t="n">
        <v>429661.88</v>
      </c>
      <c r="AL36" s="38" t="n">
        <v>576443.29</v>
      </c>
      <c r="AM36" s="38" t="n">
        <v>421548.85</v>
      </c>
      <c r="AN36" s="38" t="n">
        <v>426552.77</v>
      </c>
      <c r="AO36" s="38" t="n">
        <v>519926.37</v>
      </c>
      <c r="AP36" s="38" t="n">
        <v>422383.73</v>
      </c>
      <c r="AQ36" s="38" t="n">
        <v>6664379.44</v>
      </c>
      <c r="AR36" s="38" t="n"/>
      <c r="AS36" s="38" t="n">
        <v>239473.3</v>
      </c>
      <c r="AT36" s="38" t="n">
        <v>397773.97</v>
      </c>
      <c r="AU36" s="38" t="n">
        <v>434503.72</v>
      </c>
      <c r="AV36" s="38" t="n">
        <v>427920.33</v>
      </c>
      <c r="AW36" s="38" t="n">
        <v>420170.8</v>
      </c>
      <c r="AX36" s="38" t="n">
        <v>282421.47</v>
      </c>
      <c r="AY36" s="38" t="n">
        <v>349052.9</v>
      </c>
      <c r="AZ36" s="38" t="n"/>
    </row>
    <row r="37">
      <c r="A37" s="15" t="inlineStr">
        <is>
          <t>9006 - LOE - DELAY RENTAL</t>
        </is>
      </c>
      <c r="C37" s="38" t="n">
        <v>384179.43</v>
      </c>
      <c r="D37" s="38" t="n">
        <v>647130.66</v>
      </c>
      <c r="E37" s="38" t="n">
        <v>978312.28</v>
      </c>
      <c r="F37" s="38" t="n">
        <v>726609.86</v>
      </c>
      <c r="G37" s="38" t="n">
        <v>1588178.77</v>
      </c>
      <c r="H37" s="38" t="n">
        <v>1338236.24</v>
      </c>
      <c r="I37" s="38" t="n">
        <v>1227398.23</v>
      </c>
      <c r="J37" s="38" t="n">
        <v>1621914.28</v>
      </c>
      <c r="K37" s="38" t="n">
        <v>1430884.73</v>
      </c>
      <c r="L37" s="38" t="n">
        <v>1479350.66</v>
      </c>
      <c r="M37" s="38" t="n">
        <v>1168552.64</v>
      </c>
      <c r="N37" s="38" t="n">
        <v>1115079.64</v>
      </c>
      <c r="O37" s="38" t="n">
        <v>13705827.43</v>
      </c>
      <c r="P37" s="38" t="n"/>
      <c r="Q37" s="38" t="n">
        <v>875992.89</v>
      </c>
      <c r="R37" s="38" t="n">
        <v>992896.4399999999</v>
      </c>
      <c r="S37" s="38" t="n">
        <v>1689072.81</v>
      </c>
      <c r="T37" s="38" t="n">
        <v>1138421.4</v>
      </c>
      <c r="U37" s="38" t="n">
        <v>843958.5699999999</v>
      </c>
      <c r="V37" s="38" t="n">
        <v>896107.42</v>
      </c>
      <c r="W37" s="38" t="n">
        <v>739026.23</v>
      </c>
      <c r="X37" s="38" t="n">
        <v>988142.28</v>
      </c>
      <c r="Y37" s="38" t="n">
        <v>746890.39</v>
      </c>
      <c r="Z37" s="38" t="n">
        <v>841635.8</v>
      </c>
      <c r="AA37" s="38" t="n">
        <v>938398.92</v>
      </c>
      <c r="AB37" s="38" t="n">
        <v>763666.3199999999</v>
      </c>
      <c r="AC37" s="38" t="n">
        <v>11454209.46</v>
      </c>
      <c r="AD37" s="38" t="n"/>
      <c r="AE37" s="38" t="n">
        <v>701436.91</v>
      </c>
      <c r="AF37" s="38" t="n">
        <v>1060930.47</v>
      </c>
      <c r="AG37" s="38" t="n">
        <v>598859.4300000001</v>
      </c>
      <c r="AH37" s="38" t="n">
        <v>561928.0600000001</v>
      </c>
      <c r="AI37" s="38" t="n">
        <v>767631.03</v>
      </c>
      <c r="AJ37" s="38" t="n">
        <v>722870.5699999999</v>
      </c>
      <c r="AK37" s="38" t="n">
        <v>513746.6</v>
      </c>
      <c r="AL37" s="38" t="n">
        <v>846232.9300000001</v>
      </c>
      <c r="AM37" s="38" t="n">
        <v>454728.81</v>
      </c>
      <c r="AN37" s="38" t="n">
        <v>674430.08</v>
      </c>
      <c r="AO37" s="38" t="n">
        <v>583962.46</v>
      </c>
      <c r="AP37" s="38" t="n">
        <v>499637.33</v>
      </c>
      <c r="AQ37" s="38" t="n">
        <v>7986394.69</v>
      </c>
      <c r="AR37" s="38" t="n"/>
      <c r="AS37" s="38" t="n">
        <v>345902.52</v>
      </c>
      <c r="AT37" s="38" t="n">
        <v>291915.22</v>
      </c>
      <c r="AU37" s="38" t="n">
        <v>341936.32</v>
      </c>
      <c r="AV37" s="38" t="n">
        <v>504485.07</v>
      </c>
      <c r="AW37" s="38" t="n">
        <v>383944.48</v>
      </c>
      <c r="AX37" s="38" t="n">
        <v>439372.64</v>
      </c>
      <c r="AY37" s="38" t="n">
        <v>269323.77</v>
      </c>
      <c r="AZ37" s="38" t="n"/>
    </row>
    <row r="38">
      <c r="A38" s="10" t="inlineStr">
        <is>
          <t>9007 - LOE - ELEC LABOR, SVCS, &amp; MATL</t>
        </is>
      </c>
      <c r="C38" s="38" t="n">
        <v>395221.12</v>
      </c>
      <c r="D38" s="38" t="n">
        <v>551500.26</v>
      </c>
      <c r="E38" s="38" t="n">
        <v>645691.62</v>
      </c>
      <c r="F38" s="38" t="n">
        <v>954722.1899999999</v>
      </c>
      <c r="G38" s="38" t="n">
        <v>1668636.84</v>
      </c>
      <c r="H38" s="38" t="n">
        <v>1193761.05</v>
      </c>
      <c r="I38" s="38" t="n">
        <v>1198410.1</v>
      </c>
      <c r="J38" s="38" t="n">
        <v>1640246.23</v>
      </c>
      <c r="K38" s="38" t="n">
        <v>1888836.21</v>
      </c>
      <c r="L38" s="38" t="n">
        <v>1320910.73</v>
      </c>
      <c r="M38" s="38" t="n">
        <v>1147518.11</v>
      </c>
      <c r="N38" s="38" t="n">
        <v>1362124.25</v>
      </c>
      <c r="O38" s="38" t="n">
        <v>13967578.71</v>
      </c>
      <c r="P38" s="38" t="n"/>
      <c r="Q38" s="38" t="n">
        <v>1530713.7</v>
      </c>
      <c r="R38" s="38" t="n">
        <v>1468373.85</v>
      </c>
      <c r="S38" s="38" t="n">
        <v>1104108.02</v>
      </c>
      <c r="T38" s="38" t="n">
        <v>1051981.98</v>
      </c>
      <c r="U38" s="38" t="n">
        <v>787073.12</v>
      </c>
      <c r="V38" s="38" t="n">
        <v>726773.42</v>
      </c>
      <c r="W38" s="38" t="n">
        <v>749925.71</v>
      </c>
      <c r="X38" s="38" t="n">
        <v>877008.01</v>
      </c>
      <c r="Y38" s="38" t="n">
        <v>825641.95</v>
      </c>
      <c r="Z38" s="38" t="n">
        <v>879631.42</v>
      </c>
      <c r="AA38" s="38" t="n">
        <v>1159604.23</v>
      </c>
      <c r="AB38" s="38" t="n">
        <v>761333.2</v>
      </c>
      <c r="AC38" s="38" t="n">
        <v>11922168.62</v>
      </c>
      <c r="AD38" s="38" t="n"/>
      <c r="AE38" s="38" t="n">
        <v>908851.34</v>
      </c>
      <c r="AF38" s="38" t="n">
        <v>1144106.87</v>
      </c>
      <c r="AG38" s="38" t="n">
        <v>543315.09</v>
      </c>
      <c r="AH38" s="38" t="n">
        <v>556637.28</v>
      </c>
      <c r="AI38" s="38" t="n">
        <v>789653.15</v>
      </c>
      <c r="AJ38" s="38" t="n">
        <v>876703.09</v>
      </c>
      <c r="AK38" s="38" t="n">
        <v>725771.91</v>
      </c>
      <c r="AL38" s="38" t="n">
        <v>738002.3</v>
      </c>
      <c r="AM38" s="38" t="n">
        <v>628008.58</v>
      </c>
      <c r="AN38" s="38" t="n">
        <v>538427.74</v>
      </c>
      <c r="AO38" s="38" t="n">
        <v>445664.45</v>
      </c>
      <c r="AP38" s="38" t="n">
        <v>615490.1800000001</v>
      </c>
      <c r="AQ38" s="38" t="n">
        <v>8510631.98</v>
      </c>
      <c r="AR38" s="38" t="n"/>
      <c r="AS38" s="38" t="n">
        <v>399719.16</v>
      </c>
      <c r="AT38" s="38" t="n">
        <v>328577.53</v>
      </c>
      <c r="AU38" s="38" t="n">
        <v>372300.89</v>
      </c>
      <c r="AV38" s="38" t="n">
        <v>529328.92</v>
      </c>
      <c r="AW38" s="38" t="n">
        <v>568308.36</v>
      </c>
      <c r="AX38" s="38" t="n">
        <v>432214.59</v>
      </c>
      <c r="AY38" s="38" t="n">
        <v>465152.08</v>
      </c>
      <c r="AZ38" s="38" t="n"/>
    </row>
    <row r="39">
      <c r="A39" s="10" t="inlineStr">
        <is>
          <t>9008 - LOE - EQUIPMENT RENTAL</t>
        </is>
      </c>
      <c r="C39" s="38" t="n">
        <v>537942.3100000001</v>
      </c>
      <c r="D39" s="38" t="n">
        <v>748805.52</v>
      </c>
      <c r="E39" s="38" t="n">
        <v>794875.17</v>
      </c>
      <c r="F39" s="38" t="n">
        <v>1137684.34</v>
      </c>
      <c r="G39" s="38" t="n">
        <v>2128348.98</v>
      </c>
      <c r="H39" s="38" t="n">
        <v>1695286.62</v>
      </c>
      <c r="I39" s="38" t="n">
        <v>1690519.17</v>
      </c>
      <c r="J39" s="38" t="n">
        <v>2337866.41</v>
      </c>
      <c r="K39" s="38" t="n">
        <v>2794276.55</v>
      </c>
      <c r="L39" s="38" t="n">
        <v>1139723.71</v>
      </c>
      <c r="M39" s="38" t="n">
        <v>2141210.67</v>
      </c>
      <c r="N39" s="38" t="n">
        <v>1300797.38</v>
      </c>
      <c r="O39" s="38" t="n">
        <v>18447336.84</v>
      </c>
      <c r="P39" s="38" t="n"/>
      <c r="Q39" s="38" t="n">
        <v>1425638.52</v>
      </c>
      <c r="R39" s="38" t="n">
        <v>1933477.5</v>
      </c>
      <c r="S39" s="38" t="n">
        <v>2147446.83</v>
      </c>
      <c r="T39" s="38" t="n">
        <v>869944.79</v>
      </c>
      <c r="U39" s="38" t="n">
        <v>1206271.63</v>
      </c>
      <c r="V39" s="38" t="n">
        <v>742164.38</v>
      </c>
      <c r="W39" s="38" t="n">
        <v>1126574.32</v>
      </c>
      <c r="X39" s="38" t="n">
        <v>893821.05</v>
      </c>
      <c r="Y39" s="38" t="n">
        <v>827907.0600000001</v>
      </c>
      <c r="Z39" s="38" t="n">
        <v>1136459.89</v>
      </c>
      <c r="AA39" s="38" t="n">
        <v>871847.37</v>
      </c>
      <c r="AB39" s="38" t="n">
        <v>1330433.47</v>
      </c>
      <c r="AC39" s="38" t="n">
        <v>14511986.81</v>
      </c>
      <c r="AD39" s="38" t="n"/>
      <c r="AE39" s="38" t="n">
        <v>1147822.21</v>
      </c>
      <c r="AF39" s="38" t="n">
        <v>881256.27</v>
      </c>
      <c r="AG39" s="38" t="n">
        <v>652950.5</v>
      </c>
      <c r="AH39" s="38" t="n">
        <v>724643.84</v>
      </c>
      <c r="AI39" s="38" t="n">
        <v>1046843.76</v>
      </c>
      <c r="AJ39" s="38" t="n">
        <v>1088965.54</v>
      </c>
      <c r="AK39" s="38" t="n">
        <v>1025057.43</v>
      </c>
      <c r="AL39" s="38" t="n">
        <v>1115698.9</v>
      </c>
      <c r="AM39" s="38" t="n">
        <v>729143.1899999999</v>
      </c>
      <c r="AN39" s="38" t="n">
        <v>838947.54</v>
      </c>
      <c r="AO39" s="38" t="n">
        <v>645508.01</v>
      </c>
      <c r="AP39" s="38" t="n">
        <v>629706.72</v>
      </c>
      <c r="AQ39" s="38" t="n">
        <v>10526543.92</v>
      </c>
      <c r="AR39" s="38" t="n"/>
      <c r="AS39" s="38" t="n">
        <v>632532.11</v>
      </c>
      <c r="AT39" s="38" t="n">
        <v>392631.37</v>
      </c>
      <c r="AU39" s="38" t="n">
        <v>629697.86</v>
      </c>
      <c r="AV39" s="38" t="n">
        <v>788307.96</v>
      </c>
      <c r="AW39" s="38" t="n">
        <v>821222.41</v>
      </c>
      <c r="AX39" s="38" t="n">
        <v>445785.5</v>
      </c>
      <c r="AY39" s="38" t="n">
        <v>560860.84</v>
      </c>
      <c r="AZ39" s="38" t="n"/>
    </row>
    <row r="40">
      <c r="A40" s="15" t="inlineStr">
        <is>
          <t>9009 - LOE - FOREMAN/SUPERVISION LAB.</t>
        </is>
      </c>
      <c r="C40" s="38" t="n">
        <v>133308.93</v>
      </c>
      <c r="D40" s="38" t="n">
        <v>282817.51</v>
      </c>
      <c r="E40" s="38" t="n">
        <v>334729.93</v>
      </c>
      <c r="F40" s="38" t="n">
        <v>324379.81</v>
      </c>
      <c r="G40" s="38" t="n">
        <v>635916.61</v>
      </c>
      <c r="H40" s="38" t="n">
        <v>616041.59</v>
      </c>
      <c r="I40" s="38" t="n">
        <v>413356.7</v>
      </c>
      <c r="J40" s="38" t="n">
        <v>578598.4300000001</v>
      </c>
      <c r="K40" s="38" t="n">
        <v>546626.9</v>
      </c>
      <c r="L40" s="38" t="n">
        <v>317509.56</v>
      </c>
      <c r="M40" s="38" t="n">
        <v>445134.39</v>
      </c>
      <c r="N40" s="38" t="n">
        <v>402509.22</v>
      </c>
      <c r="O40" s="38" t="n">
        <v>5030929.59</v>
      </c>
      <c r="P40" s="38" t="n"/>
      <c r="Q40" s="38" t="n">
        <v>447565.28</v>
      </c>
      <c r="R40" s="38" t="n">
        <v>352770.1</v>
      </c>
      <c r="S40" s="38" t="n">
        <v>460442.43</v>
      </c>
      <c r="T40" s="38" t="n">
        <v>339575.41</v>
      </c>
      <c r="U40" s="38" t="n">
        <v>409111.27</v>
      </c>
      <c r="V40" s="38" t="n">
        <v>246894.32</v>
      </c>
      <c r="W40" s="38" t="n">
        <v>209668.94</v>
      </c>
      <c r="X40" s="38" t="n">
        <v>291882.79</v>
      </c>
      <c r="Y40" s="38" t="n">
        <v>273029.75</v>
      </c>
      <c r="Z40" s="38" t="n">
        <v>267869.23</v>
      </c>
      <c r="AA40" s="38" t="n">
        <v>256196.93</v>
      </c>
      <c r="AB40" s="38" t="n">
        <v>331561.29</v>
      </c>
      <c r="AC40" s="38" t="n">
        <v>3886567.73</v>
      </c>
      <c r="AD40" s="38" t="n"/>
      <c r="AE40" s="38" t="n">
        <v>380716.07</v>
      </c>
      <c r="AF40" s="38" t="n">
        <v>387316.47</v>
      </c>
      <c r="AG40" s="38" t="n">
        <v>166676.02</v>
      </c>
      <c r="AH40" s="38" t="n">
        <v>204273.06</v>
      </c>
      <c r="AI40" s="38" t="n">
        <v>209877.51</v>
      </c>
      <c r="AJ40" s="38" t="n">
        <v>205154.18</v>
      </c>
      <c r="AK40" s="38" t="n">
        <v>182622.35</v>
      </c>
      <c r="AL40" s="38" t="n">
        <v>171444.06</v>
      </c>
      <c r="AM40" s="38" t="n">
        <v>227245.38</v>
      </c>
      <c r="AN40" s="38" t="n">
        <v>176941.83</v>
      </c>
      <c r="AO40" s="38" t="n">
        <v>225752.03</v>
      </c>
      <c r="AP40" s="38" t="n">
        <v>172741.89</v>
      </c>
      <c r="AQ40" s="38" t="n">
        <v>2710760.85</v>
      </c>
      <c r="AR40" s="38" t="n"/>
      <c r="AS40" s="38" t="n">
        <v>151291.13</v>
      </c>
      <c r="AT40" s="38" t="n">
        <v>161409.63</v>
      </c>
      <c r="AU40" s="38" t="n">
        <v>175440.1</v>
      </c>
      <c r="AV40" s="38" t="n">
        <v>229261.92</v>
      </c>
      <c r="AW40" s="38" t="n">
        <v>199033.64</v>
      </c>
      <c r="AX40" s="38" t="n">
        <v>110724.01</v>
      </c>
      <c r="AY40" s="38" t="n">
        <v>86294.41</v>
      </c>
      <c r="AZ40" s="38" t="n"/>
    </row>
    <row r="41">
      <c r="A41" s="10" t="inlineStr">
        <is>
          <t>9010 - LOE - FUEL &amp; POWER</t>
        </is>
      </c>
      <c r="C41" s="38" t="n">
        <v>388938.97</v>
      </c>
      <c r="D41" s="38" t="n">
        <v>774817.38</v>
      </c>
      <c r="E41" s="38" t="n">
        <v>832485.5</v>
      </c>
      <c r="F41" s="38" t="n">
        <v>1139206.25</v>
      </c>
      <c r="G41" s="38" t="n">
        <v>2204637.66</v>
      </c>
      <c r="H41" s="38" t="n">
        <v>1357924.31</v>
      </c>
      <c r="I41" s="38" t="n">
        <v>1734535.08</v>
      </c>
      <c r="J41" s="38" t="n">
        <v>2315044.13</v>
      </c>
      <c r="K41" s="38" t="n">
        <v>2133033.48</v>
      </c>
      <c r="L41" s="38" t="n">
        <v>1859485.43</v>
      </c>
      <c r="M41" s="38" t="n">
        <v>2075690.31</v>
      </c>
      <c r="N41" s="38" t="n">
        <v>2117513</v>
      </c>
      <c r="O41" s="38" t="n">
        <v>18933311.5</v>
      </c>
      <c r="P41" s="38" t="n"/>
      <c r="Q41" s="38" t="n">
        <v>1476084.17</v>
      </c>
      <c r="R41" s="38" t="n">
        <v>1682529.64</v>
      </c>
      <c r="S41" s="38" t="n">
        <v>2053081.61</v>
      </c>
      <c r="T41" s="38" t="n">
        <v>947653.86</v>
      </c>
      <c r="U41" s="38" t="n">
        <v>1221976.04</v>
      </c>
      <c r="V41" s="38" t="n">
        <v>1323547.84</v>
      </c>
      <c r="W41" s="38" t="n">
        <v>917197.45</v>
      </c>
      <c r="X41" s="38" t="n">
        <v>1329939</v>
      </c>
      <c r="Y41" s="38" t="n">
        <v>1304273.07</v>
      </c>
      <c r="Z41" s="38" t="n">
        <v>741032.02</v>
      </c>
      <c r="AA41" s="38" t="n">
        <v>929476.7</v>
      </c>
      <c r="AB41" s="38" t="n">
        <v>790735.98</v>
      </c>
      <c r="AC41" s="38" t="n">
        <v>14717527.39</v>
      </c>
      <c r="AD41" s="38" t="n"/>
      <c r="AE41" s="38" t="n">
        <v>1024425.81</v>
      </c>
      <c r="AF41" s="38" t="n">
        <v>1004255.29</v>
      </c>
      <c r="AG41" s="38" t="n">
        <v>838866.34</v>
      </c>
      <c r="AH41" s="38" t="n">
        <v>868467.96</v>
      </c>
      <c r="AI41" s="38" t="n">
        <v>874434.46</v>
      </c>
      <c r="AJ41" s="38" t="n">
        <v>748478.41</v>
      </c>
      <c r="AK41" s="38" t="n">
        <v>889898</v>
      </c>
      <c r="AL41" s="38" t="n">
        <v>777695.79</v>
      </c>
      <c r="AM41" s="38" t="n">
        <v>673357.37</v>
      </c>
      <c r="AN41" s="38" t="n">
        <v>698459.89</v>
      </c>
      <c r="AO41" s="38" t="n">
        <v>536238.84</v>
      </c>
      <c r="AP41" s="38" t="n">
        <v>766586.21</v>
      </c>
      <c r="AQ41" s="38" t="n">
        <v>9701164.359999999</v>
      </c>
      <c r="AR41" s="38" t="n"/>
      <c r="AS41" s="38" t="n">
        <v>450128.19</v>
      </c>
      <c r="AT41" s="38" t="n">
        <v>530216.11</v>
      </c>
      <c r="AU41" s="38" t="n">
        <v>623800.62</v>
      </c>
      <c r="AV41" s="38" t="n">
        <v>575689.5600000001</v>
      </c>
      <c r="AW41" s="38" t="n">
        <v>502494.51</v>
      </c>
      <c r="AX41" s="38" t="n">
        <v>505741.86</v>
      </c>
      <c r="AY41" s="38" t="n">
        <v>394360.89</v>
      </c>
      <c r="AZ41" s="38" t="n"/>
    </row>
    <row r="42">
      <c r="A42" s="10" t="inlineStr">
        <is>
          <t>9011 - LOE - HAULING &amp; TRANSPORTATION</t>
        </is>
      </c>
      <c r="C42" s="38" t="n">
        <v>315632.53</v>
      </c>
      <c r="D42" s="38" t="n">
        <v>617899.6</v>
      </c>
      <c r="E42" s="38" t="n">
        <v>900154.95</v>
      </c>
      <c r="F42" s="38" t="n">
        <v>1141184.13</v>
      </c>
      <c r="G42" s="38" t="n">
        <v>1807125.11</v>
      </c>
      <c r="H42" s="38" t="n">
        <v>1331609.08</v>
      </c>
      <c r="I42" s="38" t="n">
        <v>2398232.91</v>
      </c>
      <c r="J42" s="38" t="n">
        <v>1923545.19</v>
      </c>
      <c r="K42" s="38" t="n">
        <v>3085233.4</v>
      </c>
      <c r="L42" s="38" t="n">
        <v>1790699.73</v>
      </c>
      <c r="M42" s="38" t="n">
        <v>1543892.01</v>
      </c>
      <c r="N42" s="38" t="n">
        <v>1852633.33</v>
      </c>
      <c r="O42" s="38" t="n">
        <v>18707841.96</v>
      </c>
      <c r="P42" s="38" t="n"/>
      <c r="Q42" s="38" t="n">
        <v>1441881.25</v>
      </c>
      <c r="R42" s="38" t="n">
        <v>2138843.84</v>
      </c>
      <c r="S42" s="38" t="n">
        <v>2286742.93</v>
      </c>
      <c r="T42" s="38" t="n">
        <v>893502.2</v>
      </c>
      <c r="U42" s="38" t="n">
        <v>996620.25</v>
      </c>
      <c r="V42" s="38" t="n">
        <v>1287155.03</v>
      </c>
      <c r="W42" s="38" t="n">
        <v>961646.38</v>
      </c>
      <c r="X42" s="38" t="n">
        <v>894253.35</v>
      </c>
      <c r="Y42" s="38" t="n">
        <v>1135045.24</v>
      </c>
      <c r="Z42" s="38" t="n">
        <v>746842.0600000001</v>
      </c>
      <c r="AA42" s="38" t="n">
        <v>903318.63</v>
      </c>
      <c r="AB42" s="38" t="n">
        <v>1349997.44</v>
      </c>
      <c r="AC42" s="38" t="n">
        <v>15035848.59</v>
      </c>
      <c r="AD42" s="38" t="n"/>
      <c r="AE42" s="38" t="n">
        <v>1372826.02</v>
      </c>
      <c r="AF42" s="38" t="n">
        <v>1440661.52</v>
      </c>
      <c r="AG42" s="38" t="n">
        <v>845717.58</v>
      </c>
      <c r="AH42" s="38" t="n">
        <v>793863.6800000001</v>
      </c>
      <c r="AI42" s="38" t="n">
        <v>729986.7</v>
      </c>
      <c r="AJ42" s="38" t="n">
        <v>898138.62</v>
      </c>
      <c r="AK42" s="38" t="n">
        <v>643197.05</v>
      </c>
      <c r="AL42" s="38" t="n">
        <v>981918.73</v>
      </c>
      <c r="AM42" s="38" t="n">
        <v>520398.82</v>
      </c>
      <c r="AN42" s="38" t="n">
        <v>934402.14</v>
      </c>
      <c r="AO42" s="38" t="n">
        <v>501837.51</v>
      </c>
      <c r="AP42" s="38" t="n">
        <v>493344.79</v>
      </c>
      <c r="AQ42" s="38" t="n">
        <v>10156293.16</v>
      </c>
      <c r="AR42" s="38" t="n"/>
      <c r="AS42" s="38" t="n">
        <v>600305.3100000001</v>
      </c>
      <c r="AT42" s="38" t="n">
        <v>433949.23</v>
      </c>
      <c r="AU42" s="38" t="n">
        <v>543156.38</v>
      </c>
      <c r="AV42" s="38" t="n">
        <v>834494.85</v>
      </c>
      <c r="AW42" s="38" t="n">
        <v>474177.5</v>
      </c>
      <c r="AX42" s="38" t="n">
        <v>566445.09</v>
      </c>
      <c r="AY42" s="38" t="n">
        <v>494040.91</v>
      </c>
      <c r="AZ42" s="38" t="n"/>
    </row>
    <row r="43">
      <c r="A43" s="10" t="inlineStr">
        <is>
          <t>9012 - LOE - HOT OIL TREATMENT</t>
        </is>
      </c>
      <c r="C43" s="38" t="n">
        <v>226073.86</v>
      </c>
      <c r="D43" s="38" t="n">
        <v>571036.92</v>
      </c>
      <c r="E43" s="38" t="n">
        <v>692804.12</v>
      </c>
      <c r="F43" s="38" t="n">
        <v>864638.8100000001</v>
      </c>
      <c r="G43" s="38" t="n">
        <v>1016753.86</v>
      </c>
      <c r="H43" s="38" t="n">
        <v>775296.47</v>
      </c>
      <c r="I43" s="38" t="n">
        <v>727718.6899999999</v>
      </c>
      <c r="J43" s="38" t="n">
        <v>1648394.09</v>
      </c>
      <c r="K43" s="38" t="n">
        <v>1608471.68</v>
      </c>
      <c r="L43" s="38" t="n">
        <v>853433.3</v>
      </c>
      <c r="M43" s="38" t="n">
        <v>1000130.84</v>
      </c>
      <c r="N43" s="38" t="n">
        <v>977878.4300000001</v>
      </c>
      <c r="O43" s="38" t="n">
        <v>10962631.08</v>
      </c>
      <c r="P43" s="38" t="n"/>
      <c r="Q43" s="38" t="n">
        <v>673118.3100000001</v>
      </c>
      <c r="R43" s="38" t="n">
        <v>1096413.7</v>
      </c>
      <c r="S43" s="38" t="n">
        <v>940338.5</v>
      </c>
      <c r="T43" s="38" t="n">
        <v>703180.89</v>
      </c>
      <c r="U43" s="38" t="n">
        <v>500192.77</v>
      </c>
      <c r="V43" s="38" t="n">
        <v>547104.28</v>
      </c>
      <c r="W43" s="38" t="n">
        <v>711195.08</v>
      </c>
      <c r="X43" s="38" t="n">
        <v>739959.63</v>
      </c>
      <c r="Y43" s="38" t="n">
        <v>523216.53</v>
      </c>
      <c r="Z43" s="38" t="n">
        <v>649664.64</v>
      </c>
      <c r="AA43" s="38" t="n">
        <v>549927.88</v>
      </c>
      <c r="AB43" s="38" t="n">
        <v>582696.8100000001</v>
      </c>
      <c r="AC43" s="38" t="n">
        <v>8217009.02</v>
      </c>
      <c r="AD43" s="38" t="n"/>
      <c r="AE43" s="38" t="n">
        <v>482400.21</v>
      </c>
      <c r="AF43" s="38" t="n">
        <v>697911.9</v>
      </c>
      <c r="AG43" s="38" t="n">
        <v>506523.04</v>
      </c>
      <c r="AH43" s="38" t="n">
        <v>374749.98</v>
      </c>
      <c r="AI43" s="38" t="n">
        <v>588816.09</v>
      </c>
      <c r="AJ43" s="38" t="n">
        <v>649555.3</v>
      </c>
      <c r="AK43" s="38" t="n">
        <v>340149.44</v>
      </c>
      <c r="AL43" s="38" t="n">
        <v>627697.64</v>
      </c>
      <c r="AM43" s="38" t="n">
        <v>504530.23</v>
      </c>
      <c r="AN43" s="38" t="n">
        <v>510912.27</v>
      </c>
      <c r="AO43" s="38" t="n">
        <v>379591.73</v>
      </c>
      <c r="AP43" s="38" t="n">
        <v>461023.48</v>
      </c>
      <c r="AQ43" s="38" t="n">
        <v>6123861.32</v>
      </c>
      <c r="AR43" s="38" t="n"/>
      <c r="AS43" s="38" t="n">
        <v>350963.56</v>
      </c>
      <c r="AT43" s="38" t="n">
        <v>193241.51</v>
      </c>
      <c r="AU43" s="38" t="n">
        <v>342086.1</v>
      </c>
      <c r="AV43" s="38" t="n">
        <v>422876.96</v>
      </c>
      <c r="AW43" s="38" t="n">
        <v>356246.31</v>
      </c>
      <c r="AX43" s="38" t="n">
        <v>219234.96</v>
      </c>
      <c r="AY43" s="38" t="n">
        <v>251498.48</v>
      </c>
      <c r="AZ43" s="38" t="n"/>
    </row>
    <row r="44">
      <c r="A44" s="15" t="inlineStr">
        <is>
          <t>9013 - LOE - INSURANCE &amp; BONDS</t>
        </is>
      </c>
      <c r="C44" s="38" t="n">
        <v>62936.93</v>
      </c>
      <c r="D44" s="38" t="n">
        <v>107143.2</v>
      </c>
      <c r="E44" s="38" t="n">
        <v>157885.61</v>
      </c>
      <c r="F44" s="38" t="n">
        <v>142237.83</v>
      </c>
      <c r="G44" s="38" t="n">
        <v>171573.9</v>
      </c>
      <c r="H44" s="38" t="n">
        <v>214942.76</v>
      </c>
      <c r="I44" s="38" t="n">
        <v>267313.37</v>
      </c>
      <c r="J44" s="38" t="n">
        <v>334298.71</v>
      </c>
      <c r="K44" s="38" t="n">
        <v>354070.45</v>
      </c>
      <c r="L44" s="38" t="n">
        <v>196438.65</v>
      </c>
      <c r="M44" s="38" t="n">
        <v>189040.73</v>
      </c>
      <c r="N44" s="38" t="n">
        <v>159582.69</v>
      </c>
      <c r="O44" s="38" t="n">
        <v>2357464.81</v>
      </c>
      <c r="P44" s="38" t="n"/>
      <c r="Q44" s="38" t="n">
        <v>155151.18</v>
      </c>
      <c r="R44" s="38" t="n">
        <v>196058.92</v>
      </c>
      <c r="S44" s="38" t="n">
        <v>187633.38</v>
      </c>
      <c r="T44" s="38" t="n">
        <v>123959.11</v>
      </c>
      <c r="U44" s="38" t="n">
        <v>125339.85</v>
      </c>
      <c r="V44" s="38" t="n">
        <v>130194.52</v>
      </c>
      <c r="W44" s="38" t="n">
        <v>96795.21000000001</v>
      </c>
      <c r="X44" s="38" t="n">
        <v>135146.6</v>
      </c>
      <c r="Y44" s="38" t="n">
        <v>155161.59</v>
      </c>
      <c r="Z44" s="38" t="n">
        <v>133444.97</v>
      </c>
      <c r="AA44" s="38" t="n">
        <v>158231.32</v>
      </c>
      <c r="AB44" s="38" t="n">
        <v>168511.89</v>
      </c>
      <c r="AC44" s="38" t="n">
        <v>1765628.53</v>
      </c>
      <c r="AD44" s="38" t="n"/>
      <c r="AE44" s="38" t="n">
        <v>154547.78</v>
      </c>
      <c r="AF44" s="38" t="n">
        <v>180502.89</v>
      </c>
      <c r="AG44" s="38" t="n">
        <v>118117.08</v>
      </c>
      <c r="AH44" s="38" t="n">
        <v>120891.52</v>
      </c>
      <c r="AI44" s="38" t="n">
        <v>83961.89</v>
      </c>
      <c r="AJ44" s="38" t="n">
        <v>133447.06</v>
      </c>
      <c r="AK44" s="38" t="n">
        <v>125104.94</v>
      </c>
      <c r="AL44" s="38" t="n">
        <v>137840.06</v>
      </c>
      <c r="AM44" s="38" t="n">
        <v>66003.78</v>
      </c>
      <c r="AN44" s="38" t="n">
        <v>75205.48</v>
      </c>
      <c r="AO44" s="38" t="n">
        <v>79781.57000000001</v>
      </c>
      <c r="AP44" s="38" t="n">
        <v>61951.58</v>
      </c>
      <c r="AQ44" s="38" t="n">
        <v>1337355.65</v>
      </c>
      <c r="AR44" s="38" t="n"/>
      <c r="AS44" s="38" t="n">
        <v>54349.93</v>
      </c>
      <c r="AT44" s="38" t="n">
        <v>53694.35</v>
      </c>
      <c r="AU44" s="38" t="n">
        <v>79395.28</v>
      </c>
      <c r="AV44" s="38" t="n">
        <v>80098.98</v>
      </c>
      <c r="AW44" s="38" t="n">
        <v>90786.14999999999</v>
      </c>
      <c r="AX44" s="38" t="n">
        <v>54386.96</v>
      </c>
      <c r="AY44" s="38" t="n">
        <v>53457.64</v>
      </c>
      <c r="AZ44" s="38" t="n"/>
    </row>
    <row r="45">
      <c r="A45" s="15" t="inlineStr">
        <is>
          <t>9014 - LOE - LOCATION &amp; ROADS</t>
        </is>
      </c>
      <c r="C45" s="38" t="n">
        <v>168567.93</v>
      </c>
      <c r="D45" s="38" t="n">
        <v>289118.32</v>
      </c>
      <c r="E45" s="38" t="n">
        <v>255447.31</v>
      </c>
      <c r="F45" s="38" t="n">
        <v>301428.78</v>
      </c>
      <c r="G45" s="38" t="n">
        <v>428359.75</v>
      </c>
      <c r="H45" s="38" t="n">
        <v>546618.13</v>
      </c>
      <c r="I45" s="38" t="n">
        <v>621994.53</v>
      </c>
      <c r="J45" s="38" t="n">
        <v>624762.65</v>
      </c>
      <c r="K45" s="38" t="n">
        <v>634820.8</v>
      </c>
      <c r="L45" s="38" t="n">
        <v>380968.71</v>
      </c>
      <c r="M45" s="38" t="n">
        <v>743256.33</v>
      </c>
      <c r="N45" s="38" t="n">
        <v>424084.57</v>
      </c>
      <c r="O45" s="38" t="n">
        <v>5419427.81</v>
      </c>
      <c r="P45" s="38" t="n"/>
      <c r="Q45" s="38" t="n">
        <v>406155.28</v>
      </c>
      <c r="R45" s="38" t="n">
        <v>523240.75</v>
      </c>
      <c r="S45" s="38" t="n">
        <v>633859.09</v>
      </c>
      <c r="T45" s="38" t="n">
        <v>301058.93</v>
      </c>
      <c r="U45" s="38" t="n">
        <v>291977.36</v>
      </c>
      <c r="V45" s="38" t="n">
        <v>262583.06</v>
      </c>
      <c r="W45" s="38" t="n">
        <v>275180.96</v>
      </c>
      <c r="X45" s="38" t="n">
        <v>453972.57</v>
      </c>
      <c r="Y45" s="38" t="n">
        <v>266781.19</v>
      </c>
      <c r="Z45" s="38" t="n">
        <v>251005.6</v>
      </c>
      <c r="AA45" s="38" t="n">
        <v>406835.13</v>
      </c>
      <c r="AB45" s="38" t="n">
        <v>368665.58</v>
      </c>
      <c r="AC45" s="38" t="n">
        <v>4441315.5</v>
      </c>
      <c r="AD45" s="38" t="n"/>
      <c r="AE45" s="38" t="n">
        <v>370134.52</v>
      </c>
      <c r="AF45" s="38" t="n">
        <v>451670.24</v>
      </c>
      <c r="AG45" s="38" t="n">
        <v>281967.8</v>
      </c>
      <c r="AH45" s="38" t="n">
        <v>329723.51</v>
      </c>
      <c r="AI45" s="38" t="n">
        <v>287364.68</v>
      </c>
      <c r="AJ45" s="38" t="n">
        <v>367163</v>
      </c>
      <c r="AK45" s="38" t="n">
        <v>184441.05</v>
      </c>
      <c r="AL45" s="38" t="n">
        <v>361671.36</v>
      </c>
      <c r="AM45" s="38" t="n">
        <v>216111.63</v>
      </c>
      <c r="AN45" s="38" t="n">
        <v>270442.27</v>
      </c>
      <c r="AO45" s="38" t="n">
        <v>264235.88</v>
      </c>
      <c r="AP45" s="38" t="n">
        <v>181657.85</v>
      </c>
      <c r="AQ45" s="38" t="n">
        <v>3566583.77</v>
      </c>
      <c r="AR45" s="38" t="n"/>
      <c r="AS45" s="38" t="n">
        <v>172172.26</v>
      </c>
      <c r="AT45" s="38" t="n">
        <v>195068.56</v>
      </c>
      <c r="AU45" s="38" t="n">
        <v>211131.71</v>
      </c>
      <c r="AV45" s="38" t="n">
        <v>220699.67</v>
      </c>
      <c r="AW45" s="38" t="n">
        <v>241231.36</v>
      </c>
      <c r="AX45" s="38" t="n">
        <v>130438.15</v>
      </c>
      <c r="AY45" s="38" t="n">
        <v>156933.65</v>
      </c>
      <c r="AZ45" s="38" t="n"/>
    </row>
    <row r="46">
      <c r="A46" s="15" t="inlineStr">
        <is>
          <t>9015 - LOE - ADMINISTRATIVE OVERHEAD</t>
        </is>
      </c>
      <c r="C46" s="38" t="n">
        <v>214537.91</v>
      </c>
      <c r="D46" s="38" t="n">
        <v>516006.45</v>
      </c>
      <c r="E46" s="38" t="n">
        <v>498255.96</v>
      </c>
      <c r="F46" s="38" t="n">
        <v>935410.98</v>
      </c>
      <c r="G46" s="38" t="n">
        <v>1139173.7</v>
      </c>
      <c r="H46" s="38" t="n">
        <v>1040070.62</v>
      </c>
      <c r="I46" s="38" t="n">
        <v>1455510.79</v>
      </c>
      <c r="J46" s="38" t="n">
        <v>1695817.97</v>
      </c>
      <c r="K46" s="38" t="n">
        <v>1251686.16</v>
      </c>
      <c r="L46" s="38" t="n">
        <v>1337810.51</v>
      </c>
      <c r="M46" s="38" t="n">
        <v>1156447.73</v>
      </c>
      <c r="N46" s="38" t="n">
        <v>1004426.46</v>
      </c>
      <c r="O46" s="38" t="n">
        <v>12245155.24</v>
      </c>
      <c r="P46" s="38" t="n"/>
      <c r="Q46" s="38" t="n">
        <v>1362127.71</v>
      </c>
      <c r="R46" s="38" t="n">
        <v>881706.47</v>
      </c>
      <c r="S46" s="38" t="n">
        <v>1136390.17</v>
      </c>
      <c r="T46" s="38" t="n">
        <v>769417.48</v>
      </c>
      <c r="U46" s="38" t="n">
        <v>1047648.81</v>
      </c>
      <c r="V46" s="38" t="n">
        <v>768677.9</v>
      </c>
      <c r="W46" s="38" t="n">
        <v>538927.11</v>
      </c>
      <c r="X46" s="38" t="n">
        <v>714190.64</v>
      </c>
      <c r="Y46" s="38" t="n">
        <v>499197.3</v>
      </c>
      <c r="Z46" s="38" t="n">
        <v>736954.92</v>
      </c>
      <c r="AA46" s="38" t="n">
        <v>735563.26</v>
      </c>
      <c r="AB46" s="38" t="n">
        <v>627381.1</v>
      </c>
      <c r="AC46" s="38" t="n">
        <v>9818182.859999999</v>
      </c>
      <c r="AD46" s="38" t="n"/>
      <c r="AE46" s="38" t="n">
        <v>663006.05</v>
      </c>
      <c r="AF46" s="38" t="n">
        <v>947121.04</v>
      </c>
      <c r="AG46" s="38" t="n">
        <v>741393.71</v>
      </c>
      <c r="AH46" s="38" t="n">
        <v>592509.85</v>
      </c>
      <c r="AI46" s="38" t="n">
        <v>540154.8100000001</v>
      </c>
      <c r="AJ46" s="38" t="n">
        <v>632520.59</v>
      </c>
      <c r="AK46" s="38" t="n">
        <v>413824.36</v>
      </c>
      <c r="AL46" s="38" t="n">
        <v>467371.37</v>
      </c>
      <c r="AM46" s="38" t="n">
        <v>470891.18</v>
      </c>
      <c r="AN46" s="38" t="n">
        <v>668290.3</v>
      </c>
      <c r="AO46" s="38" t="n">
        <v>577053.9300000001</v>
      </c>
      <c r="AP46" s="38" t="n">
        <v>490577.26</v>
      </c>
      <c r="AQ46" s="38" t="n">
        <v>7204714.45</v>
      </c>
      <c r="AR46" s="38" t="n"/>
      <c r="AS46" s="38" t="n">
        <v>336904.26</v>
      </c>
      <c r="AT46" s="38" t="n">
        <v>353862.49</v>
      </c>
      <c r="AU46" s="38" t="n">
        <v>299602.91</v>
      </c>
      <c r="AV46" s="38" t="n">
        <v>535680.6</v>
      </c>
      <c r="AW46" s="38" t="n">
        <v>389071.11</v>
      </c>
      <c r="AX46" s="38" t="n">
        <v>334925.86</v>
      </c>
      <c r="AY46" s="38" t="n">
        <v>307073.89</v>
      </c>
      <c r="AZ46" s="38" t="n"/>
    </row>
    <row r="47">
      <c r="A47" s="10" t="inlineStr">
        <is>
          <t>9016 - LOE - NON-OPERATED WELLS</t>
        </is>
      </c>
      <c r="C47" s="38" t="n">
        <v>247148.77</v>
      </c>
      <c r="D47" s="38" t="n">
        <v>714034.51</v>
      </c>
      <c r="E47" s="38" t="n">
        <v>713353.85</v>
      </c>
      <c r="F47" s="38" t="n">
        <v>906654.4300000001</v>
      </c>
      <c r="G47" s="38" t="n">
        <v>1534204.08</v>
      </c>
      <c r="H47" s="38" t="n">
        <v>1588298.47</v>
      </c>
      <c r="I47" s="38" t="n">
        <v>1249949.95</v>
      </c>
      <c r="J47" s="38" t="n">
        <v>1726510.25</v>
      </c>
      <c r="K47" s="38" t="n">
        <v>2186907.53</v>
      </c>
      <c r="L47" s="38" t="n">
        <v>1104313.32</v>
      </c>
      <c r="M47" s="38" t="n">
        <v>1080791.87</v>
      </c>
      <c r="N47" s="38" t="n">
        <v>1399821.46</v>
      </c>
      <c r="O47" s="38" t="n">
        <v>14451988.5</v>
      </c>
      <c r="P47" s="38" t="n"/>
      <c r="Q47" s="38" t="n">
        <v>1114646.14</v>
      </c>
      <c r="R47" s="38" t="n">
        <v>1610477.3</v>
      </c>
      <c r="S47" s="38" t="n">
        <v>1377766.71</v>
      </c>
      <c r="T47" s="38" t="n">
        <v>1155278.29</v>
      </c>
      <c r="U47" s="38" t="n">
        <v>956828.4300000001</v>
      </c>
      <c r="V47" s="38" t="n">
        <v>720810.12</v>
      </c>
      <c r="W47" s="38" t="n">
        <v>557886.02</v>
      </c>
      <c r="X47" s="38" t="n">
        <v>604981.3100000001</v>
      </c>
      <c r="Y47" s="38" t="n">
        <v>918723.05</v>
      </c>
      <c r="Z47" s="38" t="n">
        <v>804005.21</v>
      </c>
      <c r="AA47" s="38" t="n">
        <v>883026.83</v>
      </c>
      <c r="AB47" s="38" t="n">
        <v>898147.0600000001</v>
      </c>
      <c r="AC47" s="38" t="n">
        <v>11602576.47</v>
      </c>
      <c r="AD47" s="38" t="n"/>
      <c r="AE47" s="38" t="n">
        <v>738950.23</v>
      </c>
      <c r="AF47" s="38" t="n">
        <v>999741.4</v>
      </c>
      <c r="AG47" s="38" t="n">
        <v>768021.54</v>
      </c>
      <c r="AH47" s="38" t="n">
        <v>750661.37</v>
      </c>
      <c r="AI47" s="38" t="n">
        <v>634973.22</v>
      </c>
      <c r="AJ47" s="38" t="n">
        <v>804145.98</v>
      </c>
      <c r="AK47" s="38" t="n">
        <v>588497.09</v>
      </c>
      <c r="AL47" s="38" t="n">
        <v>629397.87</v>
      </c>
      <c r="AM47" s="38" t="n">
        <v>386336.01</v>
      </c>
      <c r="AN47" s="38" t="n">
        <v>758945.86</v>
      </c>
      <c r="AO47" s="38" t="n">
        <v>567741.66</v>
      </c>
      <c r="AP47" s="38" t="n">
        <v>350509.37</v>
      </c>
      <c r="AQ47" s="38" t="n">
        <v>7977921.6</v>
      </c>
      <c r="AR47" s="38" t="n"/>
      <c r="AS47" s="38" t="n">
        <v>362745.03</v>
      </c>
      <c r="AT47" s="38" t="n">
        <v>338140.86</v>
      </c>
      <c r="AU47" s="38" t="n">
        <v>386843.83</v>
      </c>
      <c r="AV47" s="38" t="n">
        <v>506425.42</v>
      </c>
      <c r="AW47" s="38" t="n">
        <v>576272.36</v>
      </c>
      <c r="AX47" s="38" t="n">
        <v>276922.96</v>
      </c>
      <c r="AY47" s="38" t="n">
        <v>268348.55</v>
      </c>
      <c r="AZ47" s="38" t="n"/>
    </row>
    <row r="48">
      <c r="A48" s="15" t="inlineStr">
        <is>
          <t>9017 - LOE - PUMPING / GAUGER LABOR</t>
        </is>
      </c>
      <c r="C48" s="38" t="n">
        <v>612995.0699999999</v>
      </c>
      <c r="D48" s="38" t="n">
        <v>1251612.64</v>
      </c>
      <c r="E48" s="38" t="n">
        <v>902253.3</v>
      </c>
      <c r="F48" s="38" t="n">
        <v>1368051.59</v>
      </c>
      <c r="G48" s="38" t="n">
        <v>2237597.19</v>
      </c>
      <c r="H48" s="38" t="n">
        <v>1505761.17</v>
      </c>
      <c r="I48" s="38" t="n">
        <v>2581582.3</v>
      </c>
      <c r="J48" s="38" t="n">
        <v>2359670.92</v>
      </c>
      <c r="K48" s="38" t="n">
        <v>3549354.1</v>
      </c>
      <c r="L48" s="38" t="n">
        <v>1536439.91</v>
      </c>
      <c r="M48" s="38" t="n">
        <v>2366195.55</v>
      </c>
      <c r="N48" s="38" t="n">
        <v>1480777.66</v>
      </c>
      <c r="O48" s="38" t="n">
        <v>21752291.4</v>
      </c>
      <c r="P48" s="38" t="n"/>
      <c r="Q48" s="38" t="n">
        <v>1970336.15</v>
      </c>
      <c r="R48" s="38" t="n">
        <v>1417110.59</v>
      </c>
      <c r="S48" s="38" t="n">
        <v>2357757.85</v>
      </c>
      <c r="T48" s="38" t="n">
        <v>1251217.07</v>
      </c>
      <c r="U48" s="38" t="n">
        <v>1629930.39</v>
      </c>
      <c r="V48" s="38" t="n">
        <v>1170884.79</v>
      </c>
      <c r="W48" s="38" t="n">
        <v>933977.8</v>
      </c>
      <c r="X48" s="38" t="n">
        <v>1222101.09</v>
      </c>
      <c r="Y48" s="38" t="n">
        <v>1151473.22</v>
      </c>
      <c r="Z48" s="38" t="n">
        <v>905808.3199999999</v>
      </c>
      <c r="AA48" s="38" t="n">
        <v>1495320.39</v>
      </c>
      <c r="AB48" s="38" t="n">
        <v>1301565.35</v>
      </c>
      <c r="AC48" s="38" t="n">
        <v>16807483.01</v>
      </c>
      <c r="AD48" s="38" t="n"/>
      <c r="AE48" s="38" t="n">
        <v>1628250.45</v>
      </c>
      <c r="AF48" s="38" t="n">
        <v>1656115.41</v>
      </c>
      <c r="AG48" s="38" t="n">
        <v>1198314.92</v>
      </c>
      <c r="AH48" s="38" t="n">
        <v>738167.8199999999</v>
      </c>
      <c r="AI48" s="38" t="n">
        <v>964523.79</v>
      </c>
      <c r="AJ48" s="38" t="n">
        <v>1378173.59</v>
      </c>
      <c r="AK48" s="38" t="n">
        <v>898464.76</v>
      </c>
      <c r="AL48" s="38" t="n">
        <v>791489.45</v>
      </c>
      <c r="AM48" s="38" t="n">
        <v>706506.02</v>
      </c>
      <c r="AN48" s="38" t="n">
        <v>1158617.72</v>
      </c>
      <c r="AO48" s="38" t="n">
        <v>834249.92</v>
      </c>
      <c r="AP48" s="38" t="n">
        <v>882019.4</v>
      </c>
      <c r="AQ48" s="38" t="n">
        <v>12834893.24</v>
      </c>
      <c r="AR48" s="38" t="n"/>
      <c r="AS48" s="38" t="n">
        <v>446664.91</v>
      </c>
      <c r="AT48" s="38" t="n">
        <v>617770.08</v>
      </c>
      <c r="AU48" s="38" t="n">
        <v>808283.48</v>
      </c>
      <c r="AV48" s="38" t="n">
        <v>640663.4300000001</v>
      </c>
      <c r="AW48" s="38" t="n">
        <v>836471.04</v>
      </c>
      <c r="AX48" s="38" t="n">
        <v>402698.02</v>
      </c>
      <c r="AY48" s="38" t="n">
        <v>474963.8</v>
      </c>
      <c r="AZ48" s="38" t="n"/>
    </row>
    <row r="49">
      <c r="A49" s="10" t="inlineStr">
        <is>
          <t>9018 - LOE - REPAIRS AND REPLACEMENT</t>
        </is>
      </c>
      <c r="C49" s="38" t="n">
        <v>86124.62</v>
      </c>
      <c r="D49" s="38" t="n">
        <v>159405.21</v>
      </c>
      <c r="E49" s="38" t="n">
        <v>209682.67</v>
      </c>
      <c r="F49" s="38" t="n">
        <v>257821.24</v>
      </c>
      <c r="G49" s="38" t="n">
        <v>373234.56</v>
      </c>
      <c r="H49" s="38" t="n">
        <v>373497.06</v>
      </c>
      <c r="I49" s="38" t="n">
        <v>436109.57</v>
      </c>
      <c r="J49" s="38" t="n">
        <v>504842.04</v>
      </c>
      <c r="K49" s="38" t="n">
        <v>539205.1</v>
      </c>
      <c r="L49" s="38" t="n">
        <v>303255.46</v>
      </c>
      <c r="M49" s="38" t="n">
        <v>452404.48</v>
      </c>
      <c r="N49" s="38" t="n">
        <v>450537.76</v>
      </c>
      <c r="O49" s="38" t="n">
        <v>4146119.77</v>
      </c>
      <c r="P49" s="38" t="n"/>
      <c r="Q49" s="38" t="n">
        <v>301409.83</v>
      </c>
      <c r="R49" s="38" t="n">
        <v>410781.08</v>
      </c>
      <c r="S49" s="38" t="n">
        <v>517638.83</v>
      </c>
      <c r="T49" s="38" t="n">
        <v>268844.27</v>
      </c>
      <c r="U49" s="38" t="n">
        <v>300225.34</v>
      </c>
      <c r="V49" s="38" t="n">
        <v>241924.12</v>
      </c>
      <c r="W49" s="38" t="n">
        <v>259692.75</v>
      </c>
      <c r="X49" s="38" t="n">
        <v>318246.78</v>
      </c>
      <c r="Y49" s="38" t="n">
        <v>212375.53</v>
      </c>
      <c r="Z49" s="38" t="n">
        <v>247106.16</v>
      </c>
      <c r="AA49" s="38" t="n">
        <v>270505.42</v>
      </c>
      <c r="AB49" s="38" t="n">
        <v>338530.55</v>
      </c>
      <c r="AC49" s="38" t="n">
        <v>3687280.66</v>
      </c>
      <c r="AD49" s="38" t="n"/>
      <c r="AE49" s="38" t="n">
        <v>269306.67</v>
      </c>
      <c r="AF49" s="38" t="n">
        <v>215381.3</v>
      </c>
      <c r="AG49" s="38" t="n">
        <v>233330.91</v>
      </c>
      <c r="AH49" s="38" t="n">
        <v>249501.61</v>
      </c>
      <c r="AI49" s="38" t="n">
        <v>227013.29</v>
      </c>
      <c r="AJ49" s="38" t="n">
        <v>221534.74</v>
      </c>
      <c r="AK49" s="38" t="n">
        <v>149620.89</v>
      </c>
      <c r="AL49" s="38" t="n">
        <v>183999.7</v>
      </c>
      <c r="AM49" s="38" t="n">
        <v>207339.54</v>
      </c>
      <c r="AN49" s="38" t="n">
        <v>207041.68</v>
      </c>
      <c r="AO49" s="38" t="n">
        <v>181261.08</v>
      </c>
      <c r="AP49" s="38" t="n">
        <v>161116.42</v>
      </c>
      <c r="AQ49" s="38" t="n">
        <v>2506447.81</v>
      </c>
      <c r="AR49" s="38" t="n"/>
      <c r="AS49" s="38" t="n">
        <v>128488.26</v>
      </c>
      <c r="AT49" s="38" t="n">
        <v>150466.86</v>
      </c>
      <c r="AU49" s="38" t="n">
        <v>106911.49</v>
      </c>
      <c r="AV49" s="38" t="n">
        <v>162307.42</v>
      </c>
      <c r="AW49" s="38" t="n">
        <v>207277.5</v>
      </c>
      <c r="AX49" s="38" t="n">
        <v>127373.87</v>
      </c>
      <c r="AY49" s="38" t="n">
        <v>139341.98</v>
      </c>
      <c r="AZ49" s="38" t="n"/>
    </row>
    <row r="50">
      <c r="A50" s="10" t="inlineStr">
        <is>
          <t>9019 - LOE - SAFETY ENVIR &amp; REGUL</t>
        </is>
      </c>
      <c r="C50" s="38" t="n">
        <v>343118.38</v>
      </c>
      <c r="D50" s="38" t="n">
        <v>752912.77</v>
      </c>
      <c r="E50" s="38" t="n">
        <v>486709.7</v>
      </c>
      <c r="F50" s="38" t="n">
        <v>1107041.23</v>
      </c>
      <c r="G50" s="38" t="n">
        <v>1389987.31</v>
      </c>
      <c r="H50" s="38" t="n">
        <v>1095031.37</v>
      </c>
      <c r="I50" s="38" t="n">
        <v>984907.05</v>
      </c>
      <c r="J50" s="38" t="n">
        <v>1304442.37</v>
      </c>
      <c r="K50" s="38" t="n">
        <v>1236899.68</v>
      </c>
      <c r="L50" s="38" t="n">
        <v>1309815.22</v>
      </c>
      <c r="M50" s="38" t="n">
        <v>1491901.08</v>
      </c>
      <c r="N50" s="38" t="n">
        <v>934535.85</v>
      </c>
      <c r="O50" s="38" t="n">
        <v>12437302.01</v>
      </c>
      <c r="P50" s="38" t="n"/>
      <c r="Q50" s="38" t="n">
        <v>1025113.91</v>
      </c>
      <c r="R50" s="38" t="n">
        <v>1422619.04</v>
      </c>
      <c r="S50" s="38" t="n">
        <v>924773.17</v>
      </c>
      <c r="T50" s="38" t="n">
        <v>757959.52</v>
      </c>
      <c r="U50" s="38" t="n">
        <v>730216.48</v>
      </c>
      <c r="V50" s="38" t="n">
        <v>898598.22</v>
      </c>
      <c r="W50" s="38" t="n">
        <v>714633.7</v>
      </c>
      <c r="X50" s="38" t="n">
        <v>653733.6</v>
      </c>
      <c r="Y50" s="38" t="n">
        <v>603110.83</v>
      </c>
      <c r="Z50" s="38" t="n">
        <v>866774.5</v>
      </c>
      <c r="AA50" s="38" t="n">
        <v>730282.01</v>
      </c>
      <c r="AB50" s="38" t="n">
        <v>759516.4</v>
      </c>
      <c r="AC50" s="38" t="n">
        <v>10087331.39</v>
      </c>
      <c r="AD50" s="38" t="n"/>
      <c r="AE50" s="38" t="n">
        <v>691163.7</v>
      </c>
      <c r="AF50" s="38" t="n">
        <v>755814.41</v>
      </c>
      <c r="AG50" s="38" t="n">
        <v>623884.6</v>
      </c>
      <c r="AH50" s="38" t="n">
        <v>650868.4300000001</v>
      </c>
      <c r="AI50" s="38" t="n">
        <v>712871.02</v>
      </c>
      <c r="AJ50" s="38" t="n">
        <v>464988.51</v>
      </c>
      <c r="AK50" s="38" t="n">
        <v>527060.5600000001</v>
      </c>
      <c r="AL50" s="38" t="n">
        <v>490146.34</v>
      </c>
      <c r="AM50" s="38" t="n">
        <v>398612.01</v>
      </c>
      <c r="AN50" s="38" t="n">
        <v>536129.4300000001</v>
      </c>
      <c r="AO50" s="38" t="n">
        <v>496172.95</v>
      </c>
      <c r="AP50" s="38" t="n">
        <v>337270.6</v>
      </c>
      <c r="AQ50" s="38" t="n">
        <v>6684982.55</v>
      </c>
      <c r="AR50" s="38" t="n"/>
      <c r="AS50" s="38" t="n">
        <v>269110</v>
      </c>
      <c r="AT50" s="38" t="n">
        <v>302809.92</v>
      </c>
      <c r="AU50" s="38" t="n">
        <v>303656.88</v>
      </c>
      <c r="AV50" s="38" t="n">
        <v>475954.08</v>
      </c>
      <c r="AW50" s="38" t="n">
        <v>435319.99</v>
      </c>
      <c r="AX50" s="38" t="n">
        <v>404214.17</v>
      </c>
      <c r="AY50" s="38" t="n">
        <v>294715.95</v>
      </c>
      <c r="AZ50" s="38" t="n"/>
    </row>
    <row r="51">
      <c r="A51" s="10" t="inlineStr">
        <is>
          <t>9020 - LOE - SUBMERSIBLE PUMPS</t>
        </is>
      </c>
      <c r="C51" s="38" t="n">
        <v>132349.69</v>
      </c>
      <c r="D51" s="38" t="n">
        <v>276854.36</v>
      </c>
      <c r="E51" s="38" t="n">
        <v>381670.77</v>
      </c>
      <c r="F51" s="38" t="n">
        <v>344929.02</v>
      </c>
      <c r="G51" s="38" t="n">
        <v>676494.97</v>
      </c>
      <c r="H51" s="38" t="n">
        <v>497101.35</v>
      </c>
      <c r="I51" s="38" t="n">
        <v>494481.61</v>
      </c>
      <c r="J51" s="38" t="n">
        <v>710867.23</v>
      </c>
      <c r="K51" s="38" t="n">
        <v>743605.83</v>
      </c>
      <c r="L51" s="38" t="n">
        <v>379884.2</v>
      </c>
      <c r="M51" s="38" t="n">
        <v>528278.49</v>
      </c>
      <c r="N51" s="38" t="n">
        <v>455945.44</v>
      </c>
      <c r="O51" s="38" t="n">
        <v>5622462.96</v>
      </c>
      <c r="P51" s="38" t="n"/>
      <c r="Q51" s="38" t="n">
        <v>427537.8</v>
      </c>
      <c r="R51" s="38" t="n">
        <v>579406.5600000001</v>
      </c>
      <c r="S51" s="38" t="n">
        <v>433576.35</v>
      </c>
      <c r="T51" s="38" t="n">
        <v>428293.74</v>
      </c>
      <c r="U51" s="38" t="n">
        <v>453846.46</v>
      </c>
      <c r="V51" s="38" t="n">
        <v>403587.73</v>
      </c>
      <c r="W51" s="38" t="n">
        <v>398324.41</v>
      </c>
      <c r="X51" s="38" t="n">
        <v>377738.31</v>
      </c>
      <c r="Y51" s="38" t="n">
        <v>337333.9</v>
      </c>
      <c r="Z51" s="38" t="n">
        <v>255391.01</v>
      </c>
      <c r="AA51" s="38" t="n">
        <v>310746.51</v>
      </c>
      <c r="AB51" s="38" t="n">
        <v>352448</v>
      </c>
      <c r="AC51" s="38" t="n">
        <v>4758230.81</v>
      </c>
      <c r="AD51" s="38" t="n"/>
      <c r="AE51" s="38" t="n">
        <v>366654.97</v>
      </c>
      <c r="AF51" s="38" t="n">
        <v>392525.32</v>
      </c>
      <c r="AG51" s="38" t="n">
        <v>284337.58</v>
      </c>
      <c r="AH51" s="38" t="n">
        <v>313171.96</v>
      </c>
      <c r="AI51" s="38" t="n">
        <v>217923.34</v>
      </c>
      <c r="AJ51" s="38" t="n">
        <v>253077.77</v>
      </c>
      <c r="AK51" s="38" t="n">
        <v>272305.72</v>
      </c>
      <c r="AL51" s="38" t="n">
        <v>302932.62</v>
      </c>
      <c r="AM51" s="38" t="n">
        <v>169133.58</v>
      </c>
      <c r="AN51" s="38" t="n">
        <v>260359.24</v>
      </c>
      <c r="AO51" s="38" t="n">
        <v>148306.23</v>
      </c>
      <c r="AP51" s="38" t="n">
        <v>191326.16</v>
      </c>
      <c r="AQ51" s="38" t="n">
        <v>3172054.48</v>
      </c>
      <c r="AR51" s="38" t="n"/>
      <c r="AS51" s="38" t="n">
        <v>161376.65</v>
      </c>
      <c r="AT51" s="38" t="n">
        <v>142947.9</v>
      </c>
      <c r="AU51" s="38" t="n">
        <v>143423.78</v>
      </c>
      <c r="AV51" s="38" t="n">
        <v>174247.35</v>
      </c>
      <c r="AW51" s="38" t="n">
        <v>175578.91</v>
      </c>
      <c r="AX51" s="38" t="n">
        <v>180940.49</v>
      </c>
      <c r="AY51" s="38" t="n">
        <v>157918.74</v>
      </c>
      <c r="AZ51" s="38" t="n"/>
    </row>
    <row r="52">
      <c r="A52" s="10" t="inlineStr">
        <is>
          <t>9021 - LOE - SUPPLIES &amp; MISCELLANEOUS</t>
        </is>
      </c>
      <c r="C52" s="38" t="n">
        <v>199720.6</v>
      </c>
      <c r="D52" s="38" t="n">
        <v>317443.74</v>
      </c>
      <c r="E52" s="38" t="n">
        <v>427448.29</v>
      </c>
      <c r="F52" s="38" t="n">
        <v>624990.05</v>
      </c>
      <c r="G52" s="38" t="n">
        <v>898247.72</v>
      </c>
      <c r="H52" s="38" t="n">
        <v>714448.85</v>
      </c>
      <c r="I52" s="38" t="n">
        <v>999214.6800000001</v>
      </c>
      <c r="J52" s="38" t="n">
        <v>1376009.53</v>
      </c>
      <c r="K52" s="38" t="n">
        <v>1104554.06</v>
      </c>
      <c r="L52" s="38" t="n">
        <v>1048618.52</v>
      </c>
      <c r="M52" s="38" t="n">
        <v>1003970.65</v>
      </c>
      <c r="N52" s="38" t="n">
        <v>959492.21</v>
      </c>
      <c r="O52" s="38" t="n">
        <v>9674158.880000001</v>
      </c>
      <c r="P52" s="38" t="n"/>
      <c r="Q52" s="38" t="n">
        <v>863110.53</v>
      </c>
      <c r="R52" s="38" t="n">
        <v>643835.8</v>
      </c>
      <c r="S52" s="38" t="n">
        <v>841456.53</v>
      </c>
      <c r="T52" s="38" t="n">
        <v>740413.6800000001</v>
      </c>
      <c r="U52" s="38" t="n">
        <v>576588.3100000001</v>
      </c>
      <c r="V52" s="38" t="n">
        <v>557270.71</v>
      </c>
      <c r="W52" s="38" t="n">
        <v>455756.36</v>
      </c>
      <c r="X52" s="38" t="n">
        <v>589857.65</v>
      </c>
      <c r="Y52" s="38" t="n">
        <v>666173.9300000001</v>
      </c>
      <c r="Z52" s="38" t="n">
        <v>602841.33</v>
      </c>
      <c r="AA52" s="38" t="n">
        <v>618652.7</v>
      </c>
      <c r="AB52" s="38" t="n">
        <v>543914.88</v>
      </c>
      <c r="AC52" s="38" t="n">
        <v>7699872.41</v>
      </c>
      <c r="AD52" s="38" t="n"/>
      <c r="AE52" s="38" t="n">
        <v>771230.47</v>
      </c>
      <c r="AF52" s="38" t="n">
        <v>607991.25</v>
      </c>
      <c r="AG52" s="38" t="n">
        <v>327932.13</v>
      </c>
      <c r="AH52" s="38" t="n">
        <v>350867.93</v>
      </c>
      <c r="AI52" s="38" t="n">
        <v>454616.17</v>
      </c>
      <c r="AJ52" s="38" t="n">
        <v>528320.27</v>
      </c>
      <c r="AK52" s="38" t="n">
        <v>527348.67</v>
      </c>
      <c r="AL52" s="38" t="n">
        <v>519778.58</v>
      </c>
      <c r="AM52" s="38" t="n">
        <v>407613.55</v>
      </c>
      <c r="AN52" s="38" t="n">
        <v>510264.24</v>
      </c>
      <c r="AO52" s="38" t="n">
        <v>346986.48</v>
      </c>
      <c r="AP52" s="38" t="n">
        <v>284949.73</v>
      </c>
      <c r="AQ52" s="38" t="n">
        <v>5637899.46</v>
      </c>
      <c r="AR52" s="38" t="n"/>
      <c r="AS52" s="38" t="n">
        <v>193005.8</v>
      </c>
      <c r="AT52" s="38" t="n">
        <v>296322.78</v>
      </c>
      <c r="AU52" s="38" t="n">
        <v>322798.5</v>
      </c>
      <c r="AV52" s="38" t="n">
        <v>338093.63</v>
      </c>
      <c r="AW52" s="38" t="n">
        <v>317608.41</v>
      </c>
      <c r="AX52" s="38" t="n">
        <v>231531.82</v>
      </c>
      <c r="AY52" s="38" t="n">
        <v>202439.77</v>
      </c>
      <c r="AZ52" s="38" t="n"/>
    </row>
    <row r="53">
      <c r="A53" s="10" t="inlineStr">
        <is>
          <t>9022 - LOE - UTILITIES</t>
        </is>
      </c>
      <c r="C53" s="38" t="n">
        <v>488067.73</v>
      </c>
      <c r="D53" s="38" t="n">
        <v>886552.49</v>
      </c>
      <c r="E53" s="38" t="n">
        <v>1050730.89</v>
      </c>
      <c r="F53" s="38" t="n">
        <v>1180736.91</v>
      </c>
      <c r="G53" s="38" t="n">
        <v>2314186.36</v>
      </c>
      <c r="H53" s="38" t="n">
        <v>2285873.15</v>
      </c>
      <c r="I53" s="38" t="n">
        <v>1903370.85</v>
      </c>
      <c r="J53" s="38" t="n">
        <v>3279875.13</v>
      </c>
      <c r="K53" s="38" t="n">
        <v>3354353.56</v>
      </c>
      <c r="L53" s="38" t="n">
        <v>1835456.98</v>
      </c>
      <c r="M53" s="38" t="n">
        <v>1698230.97</v>
      </c>
      <c r="N53" s="38" t="n">
        <v>2424214.07</v>
      </c>
      <c r="O53" s="38" t="n">
        <v>22701649.09</v>
      </c>
      <c r="P53" s="38" t="n"/>
      <c r="Q53" s="38" t="n">
        <v>2212958.51</v>
      </c>
      <c r="R53" s="38" t="n">
        <v>2389628.76</v>
      </c>
      <c r="S53" s="38" t="n">
        <v>1686443.04</v>
      </c>
      <c r="T53" s="38" t="n">
        <v>1036466.49</v>
      </c>
      <c r="U53" s="38" t="n">
        <v>1659964.27</v>
      </c>
      <c r="V53" s="38" t="n">
        <v>1320761.34</v>
      </c>
      <c r="W53" s="38" t="n">
        <v>1181664.1</v>
      </c>
      <c r="X53" s="38" t="n">
        <v>1545326.7</v>
      </c>
      <c r="Y53" s="38" t="n">
        <v>1277878.3</v>
      </c>
      <c r="Z53" s="38" t="n">
        <v>1148712.15</v>
      </c>
      <c r="AA53" s="38" t="n">
        <v>1701972.93</v>
      </c>
      <c r="AB53" s="38" t="n">
        <v>1588408.44</v>
      </c>
      <c r="AC53" s="38" t="n">
        <v>18750185.02</v>
      </c>
      <c r="AD53" s="38" t="n"/>
      <c r="AE53" s="38" t="n">
        <v>1636359.75</v>
      </c>
      <c r="AF53" s="38" t="n">
        <v>1481036.78</v>
      </c>
      <c r="AG53" s="38" t="n">
        <v>867801.49</v>
      </c>
      <c r="AH53" s="38" t="n">
        <v>863049.51</v>
      </c>
      <c r="AI53" s="38" t="n">
        <v>897877.9399999999</v>
      </c>
      <c r="AJ53" s="38" t="n">
        <v>1000913.34</v>
      </c>
      <c r="AK53" s="38" t="n">
        <v>715239.6800000001</v>
      </c>
      <c r="AL53" s="38" t="n">
        <v>887241.7</v>
      </c>
      <c r="AM53" s="38" t="n">
        <v>1067048.15</v>
      </c>
      <c r="AN53" s="38" t="n">
        <v>1094135.56</v>
      </c>
      <c r="AO53" s="38" t="n">
        <v>834761.15</v>
      </c>
      <c r="AP53" s="38" t="n">
        <v>989538.96</v>
      </c>
      <c r="AQ53" s="38" t="n">
        <v>12335004</v>
      </c>
      <c r="AR53" s="38" t="n"/>
      <c r="AS53" s="38" t="n">
        <v>778816.13</v>
      </c>
      <c r="AT53" s="38" t="n">
        <v>461308.79</v>
      </c>
      <c r="AU53" s="38" t="n">
        <v>471579.71</v>
      </c>
      <c r="AV53" s="38" t="n">
        <v>978511.08</v>
      </c>
      <c r="AW53" s="38" t="n">
        <v>901878.35</v>
      </c>
      <c r="AX53" s="38" t="n">
        <v>476462.01</v>
      </c>
      <c r="AY53" s="38" t="n">
        <v>677198.88</v>
      </c>
      <c r="AZ53" s="38" t="n"/>
    </row>
    <row r="54">
      <c r="A54" s="10" t="inlineStr">
        <is>
          <t>9023 - LOE - VACUUM TRUCK</t>
        </is>
      </c>
      <c r="C54" s="38" t="n">
        <v>105404.49</v>
      </c>
      <c r="D54" s="38" t="n">
        <v>155226.33</v>
      </c>
      <c r="E54" s="38" t="n">
        <v>266923.29</v>
      </c>
      <c r="F54" s="38" t="n">
        <v>331516.89</v>
      </c>
      <c r="G54" s="38" t="n">
        <v>453689.59</v>
      </c>
      <c r="H54" s="38" t="n">
        <v>348268.57</v>
      </c>
      <c r="I54" s="38" t="n">
        <v>329671.99</v>
      </c>
      <c r="J54" s="38" t="n">
        <v>434561.05</v>
      </c>
      <c r="K54" s="38" t="n">
        <v>416006.11</v>
      </c>
      <c r="L54" s="38" t="n">
        <v>297956.57</v>
      </c>
      <c r="M54" s="38" t="n">
        <v>469465.77</v>
      </c>
      <c r="N54" s="38" t="n">
        <v>379380.66</v>
      </c>
      <c r="O54" s="38" t="n">
        <v>3988071.33</v>
      </c>
      <c r="P54" s="38" t="n"/>
      <c r="Q54" s="38" t="n">
        <v>419665.17</v>
      </c>
      <c r="R54" s="38" t="n">
        <v>305598.73</v>
      </c>
      <c r="S54" s="38" t="n">
        <v>444000.32</v>
      </c>
      <c r="T54" s="38" t="n">
        <v>238277.47</v>
      </c>
      <c r="U54" s="38" t="n">
        <v>286695.63</v>
      </c>
      <c r="V54" s="38" t="n">
        <v>264262.26</v>
      </c>
      <c r="W54" s="38" t="n">
        <v>295365.02</v>
      </c>
      <c r="X54" s="38" t="n">
        <v>265664.25</v>
      </c>
      <c r="Y54" s="38" t="n">
        <v>163627.54</v>
      </c>
      <c r="Z54" s="38" t="n">
        <v>252385.69</v>
      </c>
      <c r="AA54" s="38" t="n">
        <v>313338.8</v>
      </c>
      <c r="AB54" s="38" t="n">
        <v>305303.22</v>
      </c>
      <c r="AC54" s="38" t="n">
        <v>3554184.11</v>
      </c>
      <c r="AD54" s="38" t="n"/>
      <c r="AE54" s="38" t="n">
        <v>240065.27</v>
      </c>
      <c r="AF54" s="38" t="n">
        <v>195634.32</v>
      </c>
      <c r="AG54" s="38" t="n">
        <v>248639.23</v>
      </c>
      <c r="AH54" s="38" t="n">
        <v>181148.83</v>
      </c>
      <c r="AI54" s="38" t="n">
        <v>244118.88</v>
      </c>
      <c r="AJ54" s="38" t="n">
        <v>267542.14</v>
      </c>
      <c r="AK54" s="38" t="n">
        <v>223662.13</v>
      </c>
      <c r="AL54" s="38" t="n">
        <v>161142.97</v>
      </c>
      <c r="AM54" s="38" t="n">
        <v>183248.07</v>
      </c>
      <c r="AN54" s="38" t="n">
        <v>154541.46</v>
      </c>
      <c r="AO54" s="38" t="n">
        <v>143602.78</v>
      </c>
      <c r="AP54" s="38" t="n">
        <v>175508.66</v>
      </c>
      <c r="AQ54" s="38" t="n">
        <v>2418854.74</v>
      </c>
      <c r="AR54" s="38" t="n"/>
      <c r="AS54" s="38" t="n">
        <v>143143.26</v>
      </c>
      <c r="AT54" s="38" t="n">
        <v>99464.86</v>
      </c>
      <c r="AU54" s="38" t="n">
        <v>109467.51</v>
      </c>
      <c r="AV54" s="38" t="n">
        <v>148667.48</v>
      </c>
      <c r="AW54" s="38" t="n">
        <v>135744.97</v>
      </c>
      <c r="AX54" s="38" t="n">
        <v>112025.78</v>
      </c>
      <c r="AY54" s="38" t="n">
        <v>114742.46</v>
      </c>
      <c r="AZ54" s="38" t="n"/>
    </row>
    <row r="55">
      <c r="A55" s="16" t="inlineStr">
        <is>
          <t>9024 - LOE - WATER HAULING &amp; SWD DISP</t>
        </is>
      </c>
      <c r="C55" s="38" t="n">
        <v>74765.37</v>
      </c>
      <c r="D55" s="38" t="n">
        <v>137980.04</v>
      </c>
      <c r="E55" s="38" t="n">
        <v>127526.42</v>
      </c>
      <c r="F55" s="38" t="n">
        <v>181323.86</v>
      </c>
      <c r="G55" s="38" t="n">
        <v>421920.27</v>
      </c>
      <c r="H55" s="38" t="n">
        <v>268374.18</v>
      </c>
      <c r="I55" s="38" t="n">
        <v>271500.41</v>
      </c>
      <c r="J55" s="38" t="n">
        <v>453462.15</v>
      </c>
      <c r="K55" s="38" t="n">
        <v>343683.26</v>
      </c>
      <c r="L55" s="38" t="n">
        <v>372767.05</v>
      </c>
      <c r="M55" s="38" t="n">
        <v>279044.55</v>
      </c>
      <c r="N55" s="38" t="n">
        <v>258383.8</v>
      </c>
      <c r="O55" s="38" t="n">
        <v>3190731.37</v>
      </c>
      <c r="P55" s="38" t="n"/>
      <c r="Q55" s="38" t="n">
        <v>216566.02</v>
      </c>
      <c r="R55" s="38" t="n">
        <v>245058.66</v>
      </c>
      <c r="S55" s="38" t="n">
        <v>335097.57</v>
      </c>
      <c r="T55" s="38" t="n">
        <v>285260.13</v>
      </c>
      <c r="U55" s="38" t="n">
        <v>191178.87</v>
      </c>
      <c r="V55" s="38" t="n">
        <v>175576.31</v>
      </c>
      <c r="W55" s="38" t="n">
        <v>167320.31</v>
      </c>
      <c r="X55" s="38" t="n">
        <v>231658</v>
      </c>
      <c r="Y55" s="38" t="n">
        <v>209757.62</v>
      </c>
      <c r="Z55" s="38" t="n">
        <v>185682.9</v>
      </c>
      <c r="AA55" s="38" t="n">
        <v>158854.62</v>
      </c>
      <c r="AB55" s="38" t="n">
        <v>175557.92</v>
      </c>
      <c r="AC55" s="38" t="n">
        <v>2577568.92</v>
      </c>
      <c r="AD55" s="38" t="n"/>
      <c r="AE55" s="38" t="n">
        <v>196120.58</v>
      </c>
      <c r="AF55" s="38" t="n">
        <v>197145.14</v>
      </c>
      <c r="AG55" s="38" t="n">
        <v>115786.39</v>
      </c>
      <c r="AH55" s="38" t="n">
        <v>168970.57</v>
      </c>
      <c r="AI55" s="38" t="n">
        <v>137924.5</v>
      </c>
      <c r="AJ55" s="38" t="n">
        <v>130734.89</v>
      </c>
      <c r="AK55" s="38" t="n">
        <v>171525.08</v>
      </c>
      <c r="AL55" s="38" t="n">
        <v>181305.19</v>
      </c>
      <c r="AM55" s="38" t="n">
        <v>142835.15</v>
      </c>
      <c r="AN55" s="38" t="n">
        <v>169221.3</v>
      </c>
      <c r="AO55" s="38" t="n">
        <v>100496.12</v>
      </c>
      <c r="AP55" s="38" t="n">
        <v>123894.45</v>
      </c>
      <c r="AQ55" s="38" t="n">
        <v>1835959.36</v>
      </c>
      <c r="AR55" s="38" t="n"/>
      <c r="AS55" s="38" t="n">
        <v>120108.82</v>
      </c>
      <c r="AT55" s="38" t="n">
        <v>71770.21000000001</v>
      </c>
      <c r="AU55" s="38" t="n">
        <v>76774.61</v>
      </c>
      <c r="AV55" s="38" t="n">
        <v>85596.48</v>
      </c>
      <c r="AW55" s="38" t="n">
        <v>111299.84</v>
      </c>
      <c r="AX55" s="38" t="n">
        <v>86760.91</v>
      </c>
      <c r="AY55" s="38" t="n">
        <v>82678.97</v>
      </c>
      <c r="AZ55" s="38" t="n"/>
    </row>
    <row r="56">
      <c r="A56" s="10" t="inlineStr">
        <is>
          <t>9025 - LOE - GENERATOR RENTAL</t>
        </is>
      </c>
      <c r="C56" s="38" t="n">
        <v>461011.13</v>
      </c>
      <c r="D56" s="38" t="n">
        <v>1130783.12</v>
      </c>
      <c r="E56" s="38" t="n">
        <v>1022519.66</v>
      </c>
      <c r="F56" s="38" t="n">
        <v>1513238.55</v>
      </c>
      <c r="G56" s="38" t="n">
        <v>2742844.87</v>
      </c>
      <c r="H56" s="38" t="n">
        <v>1672154.09</v>
      </c>
      <c r="I56" s="38" t="n">
        <v>1877315.39</v>
      </c>
      <c r="J56" s="38" t="n">
        <v>3225929.97</v>
      </c>
      <c r="K56" s="38" t="n">
        <v>2863092.24</v>
      </c>
      <c r="L56" s="38" t="n">
        <v>2354393.95</v>
      </c>
      <c r="M56" s="38" t="n">
        <v>2444441.92</v>
      </c>
      <c r="N56" s="38" t="n">
        <v>2126364.23</v>
      </c>
      <c r="O56" s="38" t="n">
        <v>23434089.13</v>
      </c>
      <c r="P56" s="38" t="n"/>
      <c r="Q56" s="38" t="n">
        <v>1433297.77</v>
      </c>
      <c r="R56" s="38" t="n">
        <v>1675378.48</v>
      </c>
      <c r="S56" s="38" t="n">
        <v>2208492.29</v>
      </c>
      <c r="T56" s="38" t="n">
        <v>1186208.28</v>
      </c>
      <c r="U56" s="38" t="n">
        <v>1800169.77</v>
      </c>
      <c r="V56" s="38" t="n">
        <v>1370095.85</v>
      </c>
      <c r="W56" s="38" t="n">
        <v>1261726.22</v>
      </c>
      <c r="X56" s="38" t="n">
        <v>1446271.38</v>
      </c>
      <c r="Y56" s="38" t="n">
        <v>1223862.08</v>
      </c>
      <c r="Z56" s="38" t="n">
        <v>1530696.82</v>
      </c>
      <c r="AA56" s="38" t="n">
        <v>1236736.19</v>
      </c>
      <c r="AB56" s="38" t="n">
        <v>1225617.79</v>
      </c>
      <c r="AC56" s="38" t="n">
        <v>17598552.93</v>
      </c>
      <c r="AD56" s="38" t="n"/>
      <c r="AE56" s="38" t="n">
        <v>1544492.43</v>
      </c>
      <c r="AF56" s="38" t="n">
        <v>1070504.38</v>
      </c>
      <c r="AG56" s="38" t="n">
        <v>749657.5699999999</v>
      </c>
      <c r="AH56" s="38" t="n">
        <v>1020832.65</v>
      </c>
      <c r="AI56" s="38" t="n">
        <v>1471388.77</v>
      </c>
      <c r="AJ56" s="38" t="n">
        <v>1138957.72</v>
      </c>
      <c r="AK56" s="38" t="n">
        <v>1053256.05</v>
      </c>
      <c r="AL56" s="38" t="n">
        <v>784503.8</v>
      </c>
      <c r="AM56" s="38" t="n">
        <v>914853.12</v>
      </c>
      <c r="AN56" s="38" t="n">
        <v>906913.72</v>
      </c>
      <c r="AO56" s="38" t="n">
        <v>1023179.29</v>
      </c>
      <c r="AP56" s="38" t="n">
        <v>669198.6</v>
      </c>
      <c r="AQ56" s="38" t="n">
        <v>12347738.09</v>
      </c>
      <c r="AR56" s="38" t="n"/>
      <c r="AS56" s="38" t="n">
        <v>437569.68</v>
      </c>
      <c r="AT56" s="38" t="n">
        <v>475942.52</v>
      </c>
      <c r="AU56" s="38" t="n">
        <v>466574.92</v>
      </c>
      <c r="AV56" s="38" t="n">
        <v>670751.49</v>
      </c>
      <c r="AW56" s="38" t="n">
        <v>947782.02</v>
      </c>
      <c r="AX56" s="38" t="n">
        <v>581816.9</v>
      </c>
      <c r="AY56" s="38" t="n">
        <v>497521.85</v>
      </c>
      <c r="AZ56" s="38" t="n"/>
    </row>
    <row r="57">
      <c r="A57" s="17" t="inlineStr">
        <is>
          <t>4902 - SWD INCOME 3RD PARTY</t>
        </is>
      </c>
      <c r="B57" s="18" t="n"/>
      <c r="C57" s="38" t="n">
        <v>-437496.26</v>
      </c>
      <c r="D57" s="38" t="n">
        <v>-1033825.56</v>
      </c>
      <c r="E57" s="38" t="n">
        <v>-1041795.89</v>
      </c>
      <c r="F57" s="38" t="n">
        <v>-1709342.99</v>
      </c>
      <c r="G57" s="38" t="n">
        <v>-1984536.34</v>
      </c>
      <c r="H57" s="38" t="n">
        <v>-1880803.47</v>
      </c>
      <c r="I57" s="38" t="n">
        <v>-1863684.96</v>
      </c>
      <c r="J57" s="38" t="n">
        <v>-2819120.29</v>
      </c>
      <c r="K57" s="38" t="n">
        <v>-3230167.18</v>
      </c>
      <c r="L57" s="38" t="n">
        <v>-1707827.29</v>
      </c>
      <c r="M57" s="38" t="n">
        <v>-2170160.34</v>
      </c>
      <c r="N57" s="38" t="n">
        <v>-1675926.94</v>
      </c>
      <c r="O57" s="38" t="n">
        <v>-21554687.51</v>
      </c>
      <c r="P57" s="38" t="n"/>
      <c r="Q57" s="38" t="n">
        <v>-1585943.66</v>
      </c>
      <c r="R57" s="38" t="n">
        <v>-2269936.66</v>
      </c>
      <c r="S57" s="38" t="n">
        <v>-1995408.58</v>
      </c>
      <c r="T57" s="38" t="n">
        <v>-1667772.21</v>
      </c>
      <c r="U57" s="38" t="n">
        <v>-1656341.89</v>
      </c>
      <c r="V57" s="38" t="n">
        <v>-1478786.92</v>
      </c>
      <c r="W57" s="38" t="n">
        <v>-1536661.68</v>
      </c>
      <c r="X57" s="38" t="n">
        <v>-1360176.79</v>
      </c>
      <c r="Y57" s="38" t="n">
        <v>-1139144.49</v>
      </c>
      <c r="Z57" s="38" t="n">
        <v>-1068789.99</v>
      </c>
      <c r="AA57" s="38" t="n">
        <v>-1611396.94</v>
      </c>
      <c r="AB57" s="38" t="n">
        <v>-1115120.89</v>
      </c>
      <c r="AC57" s="38" t="n">
        <v>-18485480.7</v>
      </c>
      <c r="AD57" s="38" t="n"/>
      <c r="AE57" s="38" t="n">
        <v>-1684957.71</v>
      </c>
      <c r="AF57" s="38" t="n">
        <v>-1426320.64</v>
      </c>
      <c r="AG57" s="38" t="n">
        <v>-1079793.79</v>
      </c>
      <c r="AH57" s="38" t="n">
        <v>-869324.3199999999</v>
      </c>
      <c r="AI57" s="38" t="n">
        <v>-966380.98</v>
      </c>
      <c r="AJ57" s="38" t="n">
        <v>-1171583.18</v>
      </c>
      <c r="AK57" s="38" t="n">
        <v>-1007811.92</v>
      </c>
      <c r="AL57" s="38" t="n">
        <v>-858629.1800000001</v>
      </c>
      <c r="AM57" s="38" t="n">
        <v>-636425.38</v>
      </c>
      <c r="AN57" s="38" t="n">
        <v>-1003607.97</v>
      </c>
      <c r="AO57" s="38" t="n">
        <v>-1025130.82</v>
      </c>
      <c r="AP57" s="38" t="n">
        <v>-795553.13</v>
      </c>
      <c r="AQ57" s="38" t="n">
        <v>-12525519.03</v>
      </c>
      <c r="AR57" s="38" t="n"/>
      <c r="AS57" s="38" t="n">
        <v>-613806.67</v>
      </c>
      <c r="AT57" s="38" t="n">
        <v>-585300.11</v>
      </c>
      <c r="AU57" s="38" t="n">
        <v>-589290.46</v>
      </c>
      <c r="AV57" s="38" t="n">
        <v>-811648.24</v>
      </c>
      <c r="AW57" s="38" t="n">
        <v>-885896.92</v>
      </c>
      <c r="AX57" s="38" t="n">
        <v>-682663.25</v>
      </c>
      <c r="AY57" s="38" t="n">
        <v>-507936.31</v>
      </c>
      <c r="AZ57" s="38" t="n"/>
    </row>
    <row r="58">
      <c r="A58" s="17" t="inlineStr">
        <is>
          <t>4903 - SWD INCOME</t>
        </is>
      </c>
      <c r="B58" s="18" t="n"/>
      <c r="C58" s="38" t="n">
        <v>-386506.31</v>
      </c>
      <c r="D58" s="38" t="n">
        <v>-997151.03</v>
      </c>
      <c r="E58" s="38" t="n">
        <v>-1201662.43</v>
      </c>
      <c r="F58" s="38" t="n">
        <v>-1626374.4</v>
      </c>
      <c r="G58" s="38" t="n">
        <v>-2487593.89</v>
      </c>
      <c r="H58" s="38" t="n">
        <v>-1864076.12</v>
      </c>
      <c r="I58" s="38" t="n">
        <v>-2465754.28</v>
      </c>
      <c r="J58" s="38" t="n">
        <v>-3249794.43</v>
      </c>
      <c r="K58" s="38" t="n">
        <v>-2447874.44</v>
      </c>
      <c r="L58" s="38" t="n">
        <v>-2117599.93</v>
      </c>
      <c r="M58" s="38" t="n">
        <v>-2506470.58</v>
      </c>
      <c r="N58" s="38" t="n">
        <v>-2368944.69</v>
      </c>
      <c r="O58" s="38" t="n">
        <v>-23719802.52</v>
      </c>
      <c r="P58" s="38" t="n"/>
      <c r="Q58" s="38" t="n">
        <v>-1725171.8</v>
      </c>
      <c r="R58" s="38" t="n">
        <v>-1707613.41</v>
      </c>
      <c r="S58" s="38" t="n">
        <v>-2572967.89</v>
      </c>
      <c r="T58" s="38" t="n">
        <v>-1399604.53</v>
      </c>
      <c r="U58" s="38" t="n">
        <v>-1904342.47</v>
      </c>
      <c r="V58" s="38" t="n">
        <v>-1103678.51</v>
      </c>
      <c r="W58" s="38" t="n">
        <v>-1214837.24</v>
      </c>
      <c r="X58" s="38" t="n">
        <v>-1541348.33</v>
      </c>
      <c r="Y58" s="38" t="n">
        <v>-995787.97</v>
      </c>
      <c r="Z58" s="38" t="n">
        <v>-1165862.75</v>
      </c>
      <c r="AA58" s="38" t="n">
        <v>-1510122.53</v>
      </c>
      <c r="AB58" s="38" t="n">
        <v>-1697697.9</v>
      </c>
      <c r="AC58" s="38" t="n">
        <v>-18539035.34</v>
      </c>
      <c r="AD58" s="38" t="n"/>
      <c r="AE58" s="38" t="n">
        <v>-1831739.81</v>
      </c>
      <c r="AF58" s="38" t="n">
        <v>-1297187.49</v>
      </c>
      <c r="AG58" s="38" t="n">
        <v>-1167059.21</v>
      </c>
      <c r="AH58" s="38" t="n">
        <v>-1067385.77</v>
      </c>
      <c r="AI58" s="38" t="n">
        <v>-1489402.32</v>
      </c>
      <c r="AJ58" s="38" t="n">
        <v>-1051789.32</v>
      </c>
      <c r="AK58" s="38" t="n">
        <v>-737617.1899999999</v>
      </c>
      <c r="AL58" s="38" t="n">
        <v>-852771.5600000001</v>
      </c>
      <c r="AM58" s="38" t="n">
        <v>-1030450.66</v>
      </c>
      <c r="AN58" s="38" t="n">
        <v>-1165585.45</v>
      </c>
      <c r="AO58" s="38" t="n">
        <v>-885364.41</v>
      </c>
      <c r="AP58" s="38" t="n">
        <v>-684953.99</v>
      </c>
      <c r="AQ58" s="38" t="n">
        <v>-13261307.19</v>
      </c>
      <c r="AR58" s="38" t="n"/>
      <c r="AS58" s="38" t="n">
        <v>-661284.71</v>
      </c>
      <c r="AT58" s="38" t="n">
        <v>-771713.91</v>
      </c>
      <c r="AU58" s="38" t="n">
        <v>-817580.84</v>
      </c>
      <c r="AV58" s="38" t="n">
        <v>-598320.41</v>
      </c>
      <c r="AW58" s="38" t="n">
        <v>-914333.9300000001</v>
      </c>
      <c r="AX58" s="38" t="n">
        <v>-589281.5</v>
      </c>
      <c r="AY58" s="38" t="n">
        <v>-575155.5600000001</v>
      </c>
      <c r="AZ58" s="38" t="n"/>
    </row>
    <row r="59">
      <c r="A59" s="19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</row>
    <row r="60">
      <c r="A60" s="10" t="inlineStr">
        <is>
          <t>Ad valorem tax</t>
        </is>
      </c>
      <c r="C60" s="38" t="n">
        <v>388278.68</v>
      </c>
      <c r="D60" s="38" t="n">
        <v>795511.51</v>
      </c>
      <c r="E60" s="38" t="n">
        <v>913631.4300000001</v>
      </c>
      <c r="F60" s="38" t="n">
        <v>1182587.48</v>
      </c>
      <c r="G60" s="38" t="n">
        <v>1721437.66</v>
      </c>
      <c r="H60" s="38" t="n">
        <v>1609106.49</v>
      </c>
      <c r="I60" s="38" t="n">
        <v>1684086</v>
      </c>
      <c r="J60" s="38" t="n">
        <v>2141001.77</v>
      </c>
      <c r="K60" s="38" t="n">
        <v>2308013.03</v>
      </c>
      <c r="L60" s="38" t="n">
        <v>1468659.18</v>
      </c>
      <c r="M60" s="38" t="n">
        <v>1739343.1</v>
      </c>
      <c r="N60" s="38" t="n">
        <v>1511298.57</v>
      </c>
      <c r="O60" s="38" t="n">
        <v>17462954.91</v>
      </c>
      <c r="P60" s="38" t="n"/>
      <c r="Q60" s="38" t="n">
        <v>1467506.69</v>
      </c>
      <c r="R60" s="38" t="n">
        <v>1573620.52</v>
      </c>
      <c r="S60" s="38" t="n">
        <v>1628174.59</v>
      </c>
      <c r="T60" s="38" t="n">
        <v>1121033.75</v>
      </c>
      <c r="U60" s="38" t="n">
        <v>1190035.09</v>
      </c>
      <c r="V60" s="38" t="n">
        <v>968967.24</v>
      </c>
      <c r="W60" s="38" t="n">
        <v>982802.55</v>
      </c>
      <c r="X60" s="38" t="n">
        <v>1033552.04</v>
      </c>
      <c r="Y60" s="38" t="n">
        <v>956203.22</v>
      </c>
      <c r="Z60" s="38" t="n">
        <v>909212.7</v>
      </c>
      <c r="AA60" s="38" t="n">
        <v>1070938.12</v>
      </c>
      <c r="AB60" s="38" t="n">
        <v>1004047.55</v>
      </c>
      <c r="AC60" s="38" t="n">
        <v>13906094.06</v>
      </c>
      <c r="AD60" s="38" t="n"/>
      <c r="AE60" s="38" t="n">
        <v>1067908.33</v>
      </c>
      <c r="AF60" s="38" t="n">
        <v>1075438.28</v>
      </c>
      <c r="AG60" s="38" t="n">
        <v>795981.65</v>
      </c>
      <c r="AH60" s="38" t="n">
        <v>783061.1800000001</v>
      </c>
      <c r="AI60" s="38" t="n">
        <v>878144.47</v>
      </c>
      <c r="AJ60" s="38" t="n">
        <v>873923.08</v>
      </c>
      <c r="AK60" s="38" t="n">
        <v>770948.04</v>
      </c>
      <c r="AL60" s="38" t="n">
        <v>818192.51</v>
      </c>
      <c r="AM60" s="38" t="n">
        <v>671902.62</v>
      </c>
      <c r="AN60" s="38" t="n">
        <v>739341.49</v>
      </c>
      <c r="AO60" s="38" t="n">
        <v>635243.77</v>
      </c>
      <c r="AP60" s="38" t="n">
        <v>605051.26</v>
      </c>
      <c r="AQ60" s="38" t="n">
        <v>9715136.66</v>
      </c>
      <c r="AR60" s="38" t="n"/>
      <c r="AS60" s="38" t="n">
        <v>471939.28</v>
      </c>
      <c r="AT60" s="38" t="n">
        <v>455568.61</v>
      </c>
      <c r="AU60" s="38" t="n">
        <v>511993.29</v>
      </c>
      <c r="AV60" s="38" t="n">
        <v>620894.5</v>
      </c>
      <c r="AW60" s="38" t="n">
        <v>608933.76</v>
      </c>
      <c r="AX60" s="38" t="n">
        <v>428147.63</v>
      </c>
      <c r="AY60" s="38" t="n">
        <v>414039.81</v>
      </c>
      <c r="AZ60" s="38" t="n"/>
    </row>
    <row r="61">
      <c r="A61" s="20" t="n"/>
      <c r="B61" s="20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7" t="n"/>
      <c r="Q61" s="26" t="n"/>
      <c r="R61" s="26" t="n"/>
      <c r="S61" s="26" t="n"/>
      <c r="T61" s="26" t="n"/>
      <c r="U61" s="26" t="n"/>
      <c r="V61" s="26" t="n"/>
      <c r="W61" s="26" t="n"/>
      <c r="X61" s="26" t="n"/>
      <c r="Y61" s="26" t="n"/>
      <c r="Z61" s="26" t="n"/>
      <c r="AA61" s="26" t="n"/>
      <c r="AB61" s="26" t="n"/>
      <c r="AC61" s="26" t="n"/>
      <c r="AD61" s="27" t="n"/>
      <c r="AE61" s="26" t="n"/>
      <c r="AF61" s="26" t="n"/>
      <c r="AG61" s="26" t="n"/>
      <c r="AH61" s="26" t="n"/>
      <c r="AI61" s="26" t="n"/>
      <c r="AJ61" s="26" t="n"/>
      <c r="AK61" s="26" t="n"/>
      <c r="AL61" s="26" t="n"/>
      <c r="AM61" s="26" t="n"/>
      <c r="AN61" s="26" t="n"/>
      <c r="AO61" s="26" t="n"/>
      <c r="AP61" s="26" t="n"/>
      <c r="AQ61" s="26" t="n"/>
      <c r="AR61" s="7" t="n"/>
      <c r="AS61" s="26" t="n"/>
      <c r="AT61" s="26" t="n"/>
      <c r="AU61" s="26" t="n"/>
      <c r="AV61" s="26" t="n"/>
      <c r="AW61" s="26" t="n"/>
      <c r="AX61" s="7" t="n"/>
      <c r="AY61" s="7" t="n"/>
    </row>
    <row r="62">
      <c r="A62" s="21" t="inlineStr">
        <is>
          <t>Total LOE</t>
        </is>
      </c>
      <c r="B62" s="21" t="n"/>
      <c r="C62" s="38" t="n">
        <v>2204077.25</v>
      </c>
      <c r="D62" s="38" t="n">
        <v>4515748.38</v>
      </c>
      <c r="E62" s="38" t="n">
        <v>5186260.15</v>
      </c>
      <c r="F62" s="38" t="n">
        <v>6712998.41</v>
      </c>
      <c r="G62" s="38" t="n">
        <v>9771799.939999999</v>
      </c>
      <c r="H62" s="38" t="n">
        <v>9134148.17</v>
      </c>
      <c r="I62" s="38" t="n">
        <v>9559771.93</v>
      </c>
      <c r="J62" s="38" t="n">
        <v>12153469.99</v>
      </c>
      <c r="K62" s="38" t="n">
        <v>13101515.13</v>
      </c>
      <c r="L62" s="38" t="n">
        <v>8336894.24</v>
      </c>
      <c r="M62" s="38" t="n">
        <v>9873440.77</v>
      </c>
      <c r="N62" s="38" t="n">
        <v>8578938.199999999</v>
      </c>
      <c r="O62" s="38" t="n">
        <v>99129062.56</v>
      </c>
      <c r="P62" s="38" t="n"/>
      <c r="Q62" s="38" t="n">
        <v>8330352.07</v>
      </c>
      <c r="R62" s="38" t="n">
        <v>8932710.859999999</v>
      </c>
      <c r="S62" s="38" t="n">
        <v>9242388.9</v>
      </c>
      <c r="T62" s="38" t="n">
        <v>6363586.54</v>
      </c>
      <c r="U62" s="38" t="n">
        <v>6755275.02</v>
      </c>
      <c r="V62" s="38" t="n">
        <v>5500375.8</v>
      </c>
      <c r="W62" s="38" t="n">
        <v>5578912.38</v>
      </c>
      <c r="X62" s="38" t="n">
        <v>5866993.63</v>
      </c>
      <c r="Y62" s="38" t="n">
        <v>5427920.37</v>
      </c>
      <c r="Z62" s="38" t="n">
        <v>5161177.05</v>
      </c>
      <c r="AA62" s="38" t="n">
        <v>6079216.96</v>
      </c>
      <c r="AB62" s="38" t="n">
        <v>5699510.38</v>
      </c>
      <c r="AC62" s="38" t="n">
        <v>78938419.95</v>
      </c>
      <c r="AD62" s="38" t="n"/>
      <c r="AE62" s="38" t="n">
        <v>6062018.26</v>
      </c>
      <c r="AF62" s="38" t="n">
        <v>6104762.26</v>
      </c>
      <c r="AG62" s="38" t="n">
        <v>4518417.13</v>
      </c>
      <c r="AH62" s="38" t="n">
        <v>4445073.64</v>
      </c>
      <c r="AI62" s="38" t="n">
        <v>4984817.18</v>
      </c>
      <c r="AJ62" s="38" t="n">
        <v>4960854.36</v>
      </c>
      <c r="AK62" s="38" t="n">
        <v>4376312.97</v>
      </c>
      <c r="AL62" s="38" t="n">
        <v>4644497.82</v>
      </c>
      <c r="AM62" s="38" t="n">
        <v>3814078.25</v>
      </c>
      <c r="AN62" s="38" t="n">
        <v>4196897.35</v>
      </c>
      <c r="AO62" s="38" t="n">
        <v>3605983.05</v>
      </c>
      <c r="AP62" s="38" t="n">
        <v>3434594.25</v>
      </c>
      <c r="AQ62" s="38" t="n">
        <v>55148306.51</v>
      </c>
      <c r="AR62" s="38" t="n"/>
      <c r="AS62" s="38" t="n">
        <v>2678979.52</v>
      </c>
      <c r="AT62" s="38" t="n">
        <v>2586050.86</v>
      </c>
      <c r="AU62" s="38" t="n">
        <v>2906347.5</v>
      </c>
      <c r="AV62" s="38" t="n">
        <v>3524528.94</v>
      </c>
      <c r="AW62" s="38" t="n">
        <v>3456633.35</v>
      </c>
      <c r="AX62" s="38" t="n">
        <v>2430394.69</v>
      </c>
      <c r="AY62" s="38" t="n">
        <v>2350311.2</v>
      </c>
      <c r="AZ62" s="38" t="n"/>
    </row>
    <row r="63">
      <c r="A63" s="19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</row>
    <row r="64" ht="15.75" customHeight="1" thickBot="1">
      <c r="A64" s="22" t="inlineStr">
        <is>
          <t>Operating Income (Loss)</t>
        </is>
      </c>
      <c r="B64" s="23" t="n"/>
      <c r="C64" s="38" t="n">
        <v>0</v>
      </c>
      <c r="D64" s="38" t="n">
        <v>-97475</v>
      </c>
      <c r="E64" s="38" t="n">
        <v>-21.19</v>
      </c>
      <c r="F64" s="38" t="n">
        <v>-28106.63</v>
      </c>
      <c r="G64" s="38" t="n">
        <v>-72451.88</v>
      </c>
      <c r="H64" s="38" t="n">
        <v>6057421.930000001</v>
      </c>
      <c r="I64" s="38" t="n">
        <v>6794676.07</v>
      </c>
      <c r="J64" s="38" t="n">
        <v>5333418.379999999</v>
      </c>
      <c r="K64" s="38" t="n">
        <v>10403667.11</v>
      </c>
      <c r="L64" s="38" t="n">
        <v>26682154.16</v>
      </c>
      <c r="M64" s="38" t="n">
        <v>22448450.43</v>
      </c>
      <c r="N64" s="38" t="n">
        <v>25042200.18</v>
      </c>
      <c r="O64" s="38" t="n">
        <v>102563933.56</v>
      </c>
      <c r="P64" s="38" t="n"/>
      <c r="Q64" s="38" t="n">
        <v>42562038.07000001</v>
      </c>
      <c r="R64" s="38" t="n">
        <v>44670641.83</v>
      </c>
      <c r="S64" s="38" t="n">
        <v>50175128.08000001</v>
      </c>
      <c r="T64" s="38" t="n">
        <v>70433508.28</v>
      </c>
      <c r="U64" s="38" t="n">
        <v>74113346.05000001</v>
      </c>
      <c r="V64" s="38" t="n">
        <v>87637807.58</v>
      </c>
      <c r="W64" s="38" t="n">
        <v>103501263.92</v>
      </c>
      <c r="X64" s="38" t="n">
        <v>113313490.8799999</v>
      </c>
      <c r="Y64" s="38" t="n">
        <v>128655542.2</v>
      </c>
      <c r="Z64" s="38" t="n">
        <v>135434069.52</v>
      </c>
      <c r="AA64" s="38" t="n">
        <v>103888043.8899999</v>
      </c>
      <c r="AB64" s="38" t="n">
        <v>98292619.3</v>
      </c>
      <c r="AC64" s="38" t="n">
        <v>1052677499.6</v>
      </c>
      <c r="AD64" s="38" t="n"/>
      <c r="AE64" s="38" t="n">
        <v>100118798.55</v>
      </c>
      <c r="AF64" s="38" t="n">
        <v>75215559.04999998</v>
      </c>
      <c r="AG64" s="38" t="n">
        <v>64485292.20999999</v>
      </c>
      <c r="AH64" s="38" t="n">
        <v>50243576.93000002</v>
      </c>
      <c r="AI64" s="38" t="n">
        <v>62069755.36999998</v>
      </c>
      <c r="AJ64" s="38" t="n">
        <v>66203293.73000002</v>
      </c>
      <c r="AK64" s="38" t="n">
        <v>71369756.56</v>
      </c>
      <c r="AL64" s="38" t="n">
        <v>59177270.07</v>
      </c>
      <c r="AM64" s="38" t="n">
        <v>66354441.66000003</v>
      </c>
      <c r="AN64" s="38" t="n">
        <v>79566760.51000004</v>
      </c>
      <c r="AO64" s="38" t="n">
        <v>65080837.95000001</v>
      </c>
      <c r="AP64" s="38" t="n">
        <v>45044671.52999999</v>
      </c>
      <c r="AQ64" s="38" t="n">
        <v>804930014.12</v>
      </c>
      <c r="AR64" s="38" t="n"/>
      <c r="AS64" s="38" t="n">
        <v>69296727.09</v>
      </c>
      <c r="AT64" s="38" t="n">
        <v>71720185.77</v>
      </c>
      <c r="AU64" s="38" t="n">
        <v>132997233.5400001</v>
      </c>
      <c r="AV64" s="38" t="n">
        <v>130500290.2199999</v>
      </c>
      <c r="AW64" s="38" t="n">
        <v>162137668.92</v>
      </c>
      <c r="AX64" s="38" t="n">
        <v>135962600.71</v>
      </c>
      <c r="AY64" s="38" t="n">
        <v>153392342.5</v>
      </c>
      <c r="AZ64" s="38" t="n"/>
    </row>
    <row r="65" ht="15.75" customHeight="1" thickTop="1">
      <c r="A65" s="19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</row>
    <row r="66">
      <c r="A66" s="21" t="inlineStr">
        <is>
          <t>Workover Expense: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</row>
    <row r="67">
      <c r="A67" s="10" t="inlineStr">
        <is>
          <t>9050 - WOE - CEMENT &amp; CEMENT SERVICES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  <c r="J67" s="38" t="inlineStr"/>
      <c r="K67" s="38" t="inlineStr"/>
      <c r="L67" s="38" t="inlineStr"/>
      <c r="M67" s="38" t="inlineStr"/>
      <c r="N67" s="38" t="inlineStr"/>
      <c r="O67" s="38" t="n">
        <v>0</v>
      </c>
      <c r="P67" s="38" t="n"/>
      <c r="Q67" s="38" t="inlineStr"/>
      <c r="R67" s="38" t="inlineStr"/>
      <c r="S67" s="38" t="inlineStr"/>
      <c r="T67" s="38" t="inlineStr"/>
      <c r="U67" s="38" t="inlineStr"/>
      <c r="V67" s="38" t="inlineStr"/>
      <c r="W67" s="38" t="inlineStr"/>
      <c r="X67" s="38" t="inlineStr"/>
      <c r="Y67" s="38" t="inlineStr"/>
      <c r="Z67" s="38" t="inlineStr"/>
      <c r="AA67" s="38" t="inlineStr"/>
      <c r="AB67" s="38" t="inlineStr"/>
      <c r="AC67" s="38" t="n">
        <v>0</v>
      </c>
      <c r="AD67" s="38" t="n"/>
      <c r="AE67" s="38" t="inlineStr"/>
      <c r="AF67" s="38" t="inlineStr"/>
      <c r="AG67" s="38" t="inlineStr"/>
      <c r="AH67" s="38" t="inlineStr"/>
      <c r="AI67" s="38" t="inlineStr"/>
      <c r="AJ67" s="38" t="inlineStr"/>
      <c r="AK67" s="38" t="inlineStr"/>
      <c r="AL67" s="38" t="inlineStr"/>
      <c r="AM67" s="38" t="inlineStr"/>
      <c r="AN67" s="38" t="inlineStr"/>
      <c r="AO67" s="38" t="inlineStr"/>
      <c r="AP67" s="38" t="inlineStr"/>
      <c r="AQ67" s="38" t="n">
        <v>0</v>
      </c>
      <c r="AR67" s="38" t="n"/>
      <c r="AS67" s="38" t="n">
        <v>13371.02</v>
      </c>
      <c r="AT67" s="38" t="inlineStr"/>
      <c r="AU67" s="38" t="inlineStr"/>
      <c r="AV67" s="38" t="inlineStr"/>
      <c r="AW67" s="38" t="inlineStr"/>
      <c r="AX67" s="38" t="inlineStr"/>
      <c r="AY67" s="38" t="inlineStr"/>
      <c r="AZ67" s="38" t="n"/>
    </row>
    <row r="68">
      <c r="A68" s="10" t="inlineStr">
        <is>
          <t>9051 - WOE - CHEMICALS &amp; TREATING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  <c r="J68" s="38" t="inlineStr"/>
      <c r="K68" s="38" t="inlineStr"/>
      <c r="L68" s="38" t="inlineStr"/>
      <c r="M68" s="38" t="inlineStr"/>
      <c r="N68" s="38" t="inlineStr"/>
      <c r="O68" s="38" t="n">
        <v>0</v>
      </c>
      <c r="P68" s="38" t="n"/>
      <c r="Q68" s="38" t="inlineStr"/>
      <c r="R68" s="38" t="inlineStr"/>
      <c r="S68" s="38" t="inlineStr"/>
      <c r="T68" s="38" t="inlineStr"/>
      <c r="U68" s="38" t="inlineStr"/>
      <c r="V68" s="38" t="n">
        <v>20244.40000000001</v>
      </c>
      <c r="W68" s="38" t="inlineStr"/>
      <c r="X68" s="38" t="n">
        <v>23877.06</v>
      </c>
      <c r="Y68" s="38" t="n">
        <v>15643.52</v>
      </c>
      <c r="Z68" s="38" t="inlineStr"/>
      <c r="AA68" s="38" t="inlineStr"/>
      <c r="AB68" s="38" t="inlineStr"/>
      <c r="AC68" s="38" t="n">
        <v>59764.98000000001</v>
      </c>
      <c r="AD68" s="38" t="n"/>
      <c r="AE68" s="38" t="n">
        <v>32110.91</v>
      </c>
      <c r="AF68" s="38" t="n">
        <v>54738.81</v>
      </c>
      <c r="AG68" s="38" t="inlineStr"/>
      <c r="AH68" s="38" t="inlineStr"/>
      <c r="AI68" s="38" t="inlineStr"/>
      <c r="AJ68" s="38" t="n">
        <v>16552.75</v>
      </c>
      <c r="AK68" s="38" t="n">
        <v>63575.57999999999</v>
      </c>
      <c r="AL68" s="38" t="inlineStr"/>
      <c r="AM68" s="38" t="inlineStr"/>
      <c r="AN68" s="38" t="inlineStr"/>
      <c r="AO68" s="38" t="n">
        <v>22429.82</v>
      </c>
      <c r="AP68" s="38" t="n">
        <v>21685.64</v>
      </c>
      <c r="AQ68" s="38" t="n">
        <v>211093.51</v>
      </c>
      <c r="AR68" s="38" t="n"/>
      <c r="AS68" s="38" t="inlineStr"/>
      <c r="AT68" s="38" t="inlineStr"/>
      <c r="AU68" s="38" t="inlineStr"/>
      <c r="AV68" s="38" t="inlineStr"/>
      <c r="AW68" s="38" t="inlineStr"/>
      <c r="AX68" s="38" t="inlineStr"/>
      <c r="AY68" s="38" t="inlineStr"/>
      <c r="AZ68" s="38" t="n"/>
    </row>
    <row r="69">
      <c r="A69" s="10" t="inlineStr">
        <is>
          <t>9052 - WOE - COMPANY VEHICLE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  <c r="J69" s="38" t="inlineStr"/>
      <c r="K69" s="38" t="inlineStr"/>
      <c r="L69" s="38" t="inlineStr"/>
      <c r="M69" s="38" t="inlineStr"/>
      <c r="N69" s="38" t="inlineStr"/>
      <c r="O69" s="38" t="n">
        <v>0</v>
      </c>
      <c r="P69" s="38" t="n"/>
      <c r="Q69" s="38" t="inlineStr"/>
      <c r="R69" s="38" t="inlineStr"/>
      <c r="S69" s="38" t="inlineStr"/>
      <c r="T69" s="38" t="inlineStr"/>
      <c r="U69" s="38" t="inlineStr"/>
      <c r="V69" s="38" t="inlineStr"/>
      <c r="W69" s="38" t="inlineStr"/>
      <c r="X69" s="38" t="inlineStr"/>
      <c r="Y69" s="38" t="inlineStr"/>
      <c r="Z69" s="38" t="inlineStr"/>
      <c r="AA69" s="38" t="inlineStr"/>
      <c r="AB69" s="38" t="inlineStr"/>
      <c r="AC69" s="38" t="n">
        <v>0</v>
      </c>
      <c r="AD69" s="38" t="n"/>
      <c r="AE69" s="38" t="inlineStr"/>
      <c r="AF69" s="38" t="inlineStr"/>
      <c r="AG69" s="38" t="inlineStr"/>
      <c r="AH69" s="38" t="inlineStr"/>
      <c r="AI69" s="38" t="inlineStr"/>
      <c r="AJ69" s="38" t="inlineStr"/>
      <c r="AK69" s="38" t="inlineStr"/>
      <c r="AL69" s="38" t="inlineStr"/>
      <c r="AM69" s="38" t="inlineStr"/>
      <c r="AN69" s="38" t="inlineStr"/>
      <c r="AO69" s="38" t="inlineStr"/>
      <c r="AP69" s="38" t="inlineStr"/>
      <c r="AQ69" s="38" t="n">
        <v>0</v>
      </c>
      <c r="AR69" s="38" t="n"/>
      <c r="AS69" s="38" t="inlineStr"/>
      <c r="AT69" s="38" t="inlineStr"/>
      <c r="AU69" s="38" t="inlineStr"/>
      <c r="AV69" s="38" t="inlineStr"/>
      <c r="AW69" s="38" t="inlineStr"/>
      <c r="AX69" s="38" t="inlineStr"/>
      <c r="AY69" s="38" t="inlineStr"/>
      <c r="AZ69" s="38" t="n"/>
    </row>
    <row r="70">
      <c r="A70" s="10" t="inlineStr">
        <is>
          <t>9053 - WOE - CONSULTING</t>
        </is>
      </c>
      <c r="C70" s="38" t="inlineStr"/>
      <c r="D70" s="38" t="inlineStr"/>
      <c r="E70" s="38" t="inlineStr"/>
      <c r="F70" s="38" t="n">
        <v>127.92</v>
      </c>
      <c r="G70" s="38" t="n">
        <v>139.83</v>
      </c>
      <c r="H70" s="38" t="n">
        <v>142.69</v>
      </c>
      <c r="I70" s="38" t="n">
        <v>302.8799999999999</v>
      </c>
      <c r="J70" s="38" t="n">
        <v>37.12</v>
      </c>
      <c r="K70" s="38" t="n">
        <v>32.45</v>
      </c>
      <c r="L70" s="38" t="n">
        <v>78.75</v>
      </c>
      <c r="M70" s="38" t="n">
        <v>21574.12</v>
      </c>
      <c r="N70" s="38" t="n">
        <v>42.52999999999999</v>
      </c>
      <c r="O70" s="38" t="n">
        <v>22478.29</v>
      </c>
      <c r="P70" s="38" t="n"/>
      <c r="Q70" s="38" t="n">
        <v>31.82</v>
      </c>
      <c r="R70" s="38" t="n">
        <v>35.66</v>
      </c>
      <c r="S70" s="38" t="n">
        <v>35.44</v>
      </c>
      <c r="T70" s="38" t="n">
        <v>56.26000000000001</v>
      </c>
      <c r="U70" s="38" t="n">
        <v>9879.749999999998</v>
      </c>
      <c r="V70" s="38" t="n">
        <v>342.62</v>
      </c>
      <c r="W70" s="38" t="n">
        <v>6086.890000000001</v>
      </c>
      <c r="X70" s="38" t="n">
        <v>2903.089999999999</v>
      </c>
      <c r="Y70" s="38" t="n">
        <v>4123.389999999999</v>
      </c>
      <c r="Z70" s="38" t="n">
        <v>2170.560000000002</v>
      </c>
      <c r="AA70" s="38" t="n">
        <v>500.74</v>
      </c>
      <c r="AB70" s="38" t="n">
        <v>314.7599999999998</v>
      </c>
      <c r="AC70" s="38" t="n">
        <v>26480.98</v>
      </c>
      <c r="AD70" s="38" t="n"/>
      <c r="AE70" s="38" t="n">
        <v>2844.06</v>
      </c>
      <c r="AF70" s="38" t="n">
        <v>7686</v>
      </c>
      <c r="AG70" s="38" t="n">
        <v>4072.33</v>
      </c>
      <c r="AH70" s="38" t="n">
        <v>9741.299999999999</v>
      </c>
      <c r="AI70" s="38" t="n">
        <v>5099.95</v>
      </c>
      <c r="AJ70" s="38" t="n">
        <v>22454.28</v>
      </c>
      <c r="AK70" s="38" t="n">
        <v>804.9699999999999</v>
      </c>
      <c r="AL70" s="38" t="n">
        <v>15053.01</v>
      </c>
      <c r="AM70" s="38" t="inlineStr"/>
      <c r="AN70" s="38" t="n">
        <v>16648.1</v>
      </c>
      <c r="AO70" s="38" t="n">
        <v>10683.52</v>
      </c>
      <c r="AP70" s="38" t="n">
        <v>6246.83</v>
      </c>
      <c r="AQ70" s="38" t="n">
        <v>101334.35</v>
      </c>
      <c r="AR70" s="38" t="n"/>
      <c r="AS70" s="38" t="n">
        <v>6296.2</v>
      </c>
      <c r="AT70" s="38" t="n">
        <v>3098.73</v>
      </c>
      <c r="AU70" s="38" t="n">
        <v>36796.2</v>
      </c>
      <c r="AV70" s="38" t="n">
        <v>2369.579999999996</v>
      </c>
      <c r="AW70" s="38" t="n">
        <v>13759.2</v>
      </c>
      <c r="AX70" s="38" t="n">
        <v>6155.52</v>
      </c>
      <c r="AY70" s="38" t="n">
        <v>1603.68</v>
      </c>
      <c r="AZ70" s="38" t="n"/>
    </row>
    <row r="71">
      <c r="A71" s="10" t="inlineStr">
        <is>
          <t>9054 - WOE - CONTRACT LABOR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  <c r="J71" s="38" t="inlineStr"/>
      <c r="K71" s="38" t="inlineStr"/>
      <c r="L71" s="38" t="n">
        <v>11715</v>
      </c>
      <c r="M71" s="38" t="inlineStr"/>
      <c r="N71" s="38" t="n">
        <v>950</v>
      </c>
      <c r="O71" s="38" t="n">
        <v>12665</v>
      </c>
      <c r="P71" s="38" t="n"/>
      <c r="Q71" s="38" t="inlineStr"/>
      <c r="R71" s="38" t="inlineStr"/>
      <c r="S71" s="38" t="inlineStr"/>
      <c r="T71" s="38" t="inlineStr"/>
      <c r="U71" s="38" t="n">
        <v>5581.22</v>
      </c>
      <c r="V71" s="38" t="n">
        <v>2407.5</v>
      </c>
      <c r="W71" s="38" t="n">
        <v>4106.42</v>
      </c>
      <c r="X71" s="38" t="n">
        <v>15579.06</v>
      </c>
      <c r="Y71" s="38" t="n">
        <v>37625.27</v>
      </c>
      <c r="Z71" s="38" t="n">
        <v>83299.21999999999</v>
      </c>
      <c r="AA71" s="38" t="inlineStr"/>
      <c r="AB71" s="38" t="n">
        <v>15951.04</v>
      </c>
      <c r="AC71" s="38" t="n">
        <v>164549.73</v>
      </c>
      <c r="AD71" s="38" t="n"/>
      <c r="AE71" s="38" t="n">
        <v>35880.73</v>
      </c>
      <c r="AF71" s="38" t="n">
        <v>135072.92</v>
      </c>
      <c r="AG71" s="38" t="n">
        <v>19722.71</v>
      </c>
      <c r="AH71" s="38" t="n">
        <v>44662.53</v>
      </c>
      <c r="AI71" s="38" t="n">
        <v>76347.68999999999</v>
      </c>
      <c r="AJ71" s="38" t="n">
        <v>44070.51</v>
      </c>
      <c r="AK71" s="38" t="n">
        <v>15606.92</v>
      </c>
      <c r="AL71" s="38" t="n">
        <v>44738.83000000001</v>
      </c>
      <c r="AM71" s="38" t="inlineStr"/>
      <c r="AN71" s="38" t="n">
        <v>43487.63</v>
      </c>
      <c r="AO71" s="38" t="n">
        <v>42281.83</v>
      </c>
      <c r="AP71" s="38" t="n">
        <v>33732.78999999999</v>
      </c>
      <c r="AQ71" s="38" t="n">
        <v>535605.09</v>
      </c>
      <c r="AR71" s="38" t="n"/>
      <c r="AS71" s="38" t="n">
        <v>25064.82</v>
      </c>
      <c r="AT71" s="38" t="n">
        <v>43604.24000000001</v>
      </c>
      <c r="AU71" s="38" t="n">
        <v>170472.98</v>
      </c>
      <c r="AV71" s="38" t="n">
        <v>5371.26</v>
      </c>
      <c r="AW71" s="38" t="n">
        <v>85416.42</v>
      </c>
      <c r="AX71" s="38" t="n">
        <v>40641.62</v>
      </c>
      <c r="AY71" s="38" t="inlineStr"/>
      <c r="AZ71" s="38" t="n"/>
    </row>
    <row r="72">
      <c r="A72" s="10" t="inlineStr">
        <is>
          <t>9055 - WOE - EQUIPMENT RENTAL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  <c r="J72" s="38" t="inlineStr"/>
      <c r="K72" s="38" t="inlineStr"/>
      <c r="L72" s="38" t="inlineStr"/>
      <c r="M72" s="38" t="n">
        <v>12532.15</v>
      </c>
      <c r="N72" s="38" t="inlineStr"/>
      <c r="O72" s="38" t="n">
        <v>12532.15</v>
      </c>
      <c r="P72" s="38" t="n"/>
      <c r="Q72" s="38" t="inlineStr"/>
      <c r="R72" s="38" t="inlineStr"/>
      <c r="S72" s="38" t="inlineStr"/>
      <c r="T72" s="38" t="inlineStr"/>
      <c r="U72" s="38" t="n">
        <v>9385.040000000001</v>
      </c>
      <c r="V72" s="38" t="inlineStr"/>
      <c r="W72" s="38" t="n">
        <v>4808.59</v>
      </c>
      <c r="X72" s="38" t="n">
        <v>8327.809999999999</v>
      </c>
      <c r="Y72" s="38" t="n">
        <v>18718.88</v>
      </c>
      <c r="Z72" s="38" t="n">
        <v>17152.61</v>
      </c>
      <c r="AA72" s="38" t="inlineStr"/>
      <c r="AB72" s="38" t="inlineStr"/>
      <c r="AC72" s="38" t="n">
        <v>58392.93000000001</v>
      </c>
      <c r="AD72" s="38" t="n"/>
      <c r="AE72" s="38" t="n">
        <v>4901.9</v>
      </c>
      <c r="AF72" s="38" t="n">
        <v>45002.10000000001</v>
      </c>
      <c r="AG72" s="38" t="n">
        <v>11781.66</v>
      </c>
      <c r="AH72" s="38" t="n">
        <v>29610.9</v>
      </c>
      <c r="AI72" s="38" t="n">
        <v>25674.22</v>
      </c>
      <c r="AJ72" s="38" t="n">
        <v>67978.34999999998</v>
      </c>
      <c r="AK72" s="38" t="n">
        <v>15815.82</v>
      </c>
      <c r="AL72" s="38" t="n">
        <v>39285.48000000001</v>
      </c>
      <c r="AM72" s="38" t="n">
        <v>456.89</v>
      </c>
      <c r="AN72" s="38" t="n">
        <v>9178.799999999999</v>
      </c>
      <c r="AO72" s="38" t="n">
        <v>24272.39999999999</v>
      </c>
      <c r="AP72" s="38" t="n">
        <v>28583.91</v>
      </c>
      <c r="AQ72" s="38" t="n">
        <v>302542.43</v>
      </c>
      <c r="AR72" s="38" t="n"/>
      <c r="AS72" s="38" t="n">
        <v>16991.82</v>
      </c>
      <c r="AT72" s="38" t="n">
        <v>6304.419999999998</v>
      </c>
      <c r="AU72" s="38" t="n">
        <v>19255.03</v>
      </c>
      <c r="AV72" s="38" t="inlineStr"/>
      <c r="AW72" s="38" t="n">
        <v>24226.41</v>
      </c>
      <c r="AX72" s="38" t="n">
        <v>1812.08</v>
      </c>
      <c r="AY72" s="38" t="n">
        <v>1863.86</v>
      </c>
      <c r="AZ72" s="38" t="n"/>
    </row>
    <row r="73">
      <c r="A73" s="10" t="inlineStr">
        <is>
          <t>9056 - WOE - FOREMAN/SUPERVISION LAB.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  <c r="J73" s="38" t="inlineStr"/>
      <c r="K73" s="38" t="inlineStr"/>
      <c r="L73" s="38" t="inlineStr"/>
      <c r="M73" s="38" t="inlineStr"/>
      <c r="N73" s="38" t="inlineStr"/>
      <c r="O73" s="38" t="n">
        <v>0</v>
      </c>
      <c r="P73" s="38" t="n"/>
      <c r="Q73" s="38" t="inlineStr"/>
      <c r="R73" s="38" t="inlineStr"/>
      <c r="S73" s="38" t="inlineStr"/>
      <c r="T73" s="38" t="inlineStr"/>
      <c r="U73" s="38" t="inlineStr"/>
      <c r="V73" s="38" t="inlineStr"/>
      <c r="W73" s="38" t="inlineStr"/>
      <c r="X73" s="38" t="inlineStr"/>
      <c r="Y73" s="38" t="inlineStr"/>
      <c r="Z73" s="38" t="inlineStr"/>
      <c r="AA73" s="38" t="inlineStr"/>
      <c r="AB73" s="38" t="inlineStr"/>
      <c r="AC73" s="38" t="n">
        <v>0</v>
      </c>
      <c r="AD73" s="38" t="n"/>
      <c r="AE73" s="38" t="inlineStr"/>
      <c r="AF73" s="38" t="inlineStr"/>
      <c r="AG73" s="38" t="inlineStr"/>
      <c r="AH73" s="38" t="inlineStr"/>
      <c r="AI73" s="38" t="inlineStr"/>
      <c r="AJ73" s="38" t="inlineStr"/>
      <c r="AK73" s="38" t="inlineStr"/>
      <c r="AL73" s="38" t="inlineStr"/>
      <c r="AM73" s="38" t="inlineStr"/>
      <c r="AN73" s="38" t="inlineStr"/>
      <c r="AO73" s="38" t="inlineStr"/>
      <c r="AP73" s="38" t="inlineStr"/>
      <c r="AQ73" s="38" t="n">
        <v>0</v>
      </c>
      <c r="AR73" s="38" t="n"/>
      <c r="AS73" s="38" t="inlineStr"/>
      <c r="AT73" s="38" t="inlineStr"/>
      <c r="AU73" s="38" t="inlineStr"/>
      <c r="AV73" s="38" t="inlineStr"/>
      <c r="AW73" s="38" t="inlineStr"/>
      <c r="AX73" s="38" t="inlineStr"/>
      <c r="AY73" s="38" t="inlineStr"/>
      <c r="AZ73" s="38" t="n"/>
    </row>
    <row r="74">
      <c r="A74" s="10" t="inlineStr">
        <is>
          <t>9057 - WOE - HAULING &amp; TRANSPORTATION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  <c r="J74" s="38" t="inlineStr"/>
      <c r="K74" s="38" t="inlineStr"/>
      <c r="L74" s="38" t="inlineStr"/>
      <c r="M74" s="38" t="n">
        <v>436.5</v>
      </c>
      <c r="N74" s="38" t="inlineStr"/>
      <c r="O74" s="38" t="n">
        <v>436.5</v>
      </c>
      <c r="P74" s="38" t="n"/>
      <c r="Q74" s="38" t="inlineStr"/>
      <c r="R74" s="38" t="inlineStr"/>
      <c r="S74" s="38" t="inlineStr"/>
      <c r="T74" s="38" t="inlineStr"/>
      <c r="U74" s="38" t="n">
        <v>1941.52</v>
      </c>
      <c r="V74" s="38" t="inlineStr"/>
      <c r="W74" s="38" t="inlineStr"/>
      <c r="X74" s="38" t="n">
        <v>900</v>
      </c>
      <c r="Y74" s="38" t="inlineStr"/>
      <c r="Z74" s="38" t="inlineStr"/>
      <c r="AA74" s="38" t="inlineStr"/>
      <c r="AB74" s="38" t="inlineStr"/>
      <c r="AC74" s="38" t="n">
        <v>2841.52</v>
      </c>
      <c r="AD74" s="38" t="n"/>
      <c r="AE74" s="38" t="inlineStr"/>
      <c r="AF74" s="38" t="inlineStr"/>
      <c r="AG74" s="38" t="inlineStr"/>
      <c r="AH74" s="38" t="inlineStr"/>
      <c r="AI74" s="38" t="n">
        <v>7028.99</v>
      </c>
      <c r="AJ74" s="38" t="n">
        <v>5577.5</v>
      </c>
      <c r="AK74" s="38" t="n">
        <v>2635.13</v>
      </c>
      <c r="AL74" s="38" t="n">
        <v>6441.039999999999</v>
      </c>
      <c r="AM74" s="38" t="inlineStr"/>
      <c r="AN74" s="38" t="n">
        <v>7131.75</v>
      </c>
      <c r="AO74" s="38" t="n">
        <v>4763.190000000001</v>
      </c>
      <c r="AP74" s="38" t="n">
        <v>7558.969999999999</v>
      </c>
      <c r="AQ74" s="38" t="n">
        <v>41136.57</v>
      </c>
      <c r="AR74" s="38" t="n"/>
      <c r="AS74" s="38" t="n">
        <v>4297.22</v>
      </c>
      <c r="AT74" s="38" t="n">
        <v>2744.01</v>
      </c>
      <c r="AU74" s="38" t="n">
        <v>27080.24</v>
      </c>
      <c r="AV74" s="38" t="inlineStr"/>
      <c r="AW74" s="38" t="n">
        <v>3644.66</v>
      </c>
      <c r="AX74" s="38" t="n">
        <v>4659.639999999999</v>
      </c>
      <c r="AY74" s="38" t="n">
        <v>824.5</v>
      </c>
      <c r="AZ74" s="38" t="n"/>
    </row>
    <row r="75">
      <c r="A75" s="10" t="inlineStr">
        <is>
          <t>9058 - WOE - INSURANCE &amp; BONDS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  <c r="J75" s="38" t="inlineStr"/>
      <c r="K75" s="38" t="inlineStr"/>
      <c r="L75" s="38" t="inlineStr"/>
      <c r="M75" s="38" t="inlineStr"/>
      <c r="N75" s="38" t="inlineStr"/>
      <c r="O75" s="38" t="n">
        <v>0</v>
      </c>
      <c r="P75" s="38" t="n"/>
      <c r="Q75" s="38" t="inlineStr"/>
      <c r="R75" s="38" t="inlineStr"/>
      <c r="S75" s="38" t="inlineStr"/>
      <c r="T75" s="38" t="inlineStr"/>
      <c r="U75" s="38" t="inlineStr"/>
      <c r="V75" s="38" t="inlineStr"/>
      <c r="W75" s="38" t="inlineStr"/>
      <c r="X75" s="38" t="inlineStr"/>
      <c r="Y75" s="38" t="inlineStr"/>
      <c r="Z75" s="38" t="inlineStr"/>
      <c r="AA75" s="38" t="inlineStr"/>
      <c r="AB75" s="38" t="inlineStr"/>
      <c r="AC75" s="38" t="n">
        <v>0</v>
      </c>
      <c r="AD75" s="38" t="n"/>
      <c r="AE75" s="38" t="inlineStr"/>
      <c r="AF75" s="38" t="inlineStr"/>
      <c r="AG75" s="38" t="inlineStr"/>
      <c r="AH75" s="38" t="inlineStr"/>
      <c r="AI75" s="38" t="inlineStr"/>
      <c r="AJ75" s="38" t="inlineStr"/>
      <c r="AK75" s="38" t="inlineStr"/>
      <c r="AL75" s="38" t="inlineStr"/>
      <c r="AM75" s="38" t="inlineStr"/>
      <c r="AN75" s="38" t="inlineStr"/>
      <c r="AO75" s="38" t="inlineStr"/>
      <c r="AP75" s="38" t="inlineStr"/>
      <c r="AQ75" s="38" t="n">
        <v>0</v>
      </c>
      <c r="AR75" s="38" t="n"/>
      <c r="AS75" s="38" t="inlineStr"/>
      <c r="AT75" s="38" t="inlineStr"/>
      <c r="AU75" s="38" t="inlineStr"/>
      <c r="AV75" s="38" t="inlineStr"/>
      <c r="AW75" s="38" t="inlineStr"/>
      <c r="AX75" s="38" t="inlineStr"/>
      <c r="AY75" s="38" t="inlineStr"/>
      <c r="AZ75" s="38" t="n"/>
    </row>
    <row r="76">
      <c r="A76" s="10" t="inlineStr">
        <is>
          <t>9059 - WOE - LOCATION &amp; ROADS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  <c r="J76" s="38" t="inlineStr"/>
      <c r="K76" s="38" t="inlineStr"/>
      <c r="L76" s="38" t="inlineStr"/>
      <c r="M76" s="38" t="inlineStr"/>
      <c r="N76" s="38" t="inlineStr"/>
      <c r="O76" s="38" t="n">
        <v>0</v>
      </c>
      <c r="P76" s="38" t="n"/>
      <c r="Q76" s="38" t="inlineStr"/>
      <c r="R76" s="38" t="inlineStr"/>
      <c r="S76" s="38" t="inlineStr"/>
      <c r="T76" s="38" t="inlineStr"/>
      <c r="U76" s="38" t="inlineStr"/>
      <c r="V76" s="38" t="inlineStr"/>
      <c r="W76" s="38" t="inlineStr"/>
      <c r="X76" s="38" t="inlineStr"/>
      <c r="Y76" s="38" t="inlineStr"/>
      <c r="Z76" s="38" t="inlineStr"/>
      <c r="AA76" s="38" t="inlineStr"/>
      <c r="AB76" s="38" t="inlineStr"/>
      <c r="AC76" s="38" t="n">
        <v>0</v>
      </c>
      <c r="AD76" s="38" t="n"/>
      <c r="AE76" s="38" t="inlineStr"/>
      <c r="AF76" s="38" t="inlineStr"/>
      <c r="AG76" s="38" t="inlineStr"/>
      <c r="AH76" s="38" t="inlineStr"/>
      <c r="AI76" s="38" t="inlineStr"/>
      <c r="AJ76" s="38" t="inlineStr"/>
      <c r="AK76" s="38" t="inlineStr"/>
      <c r="AL76" s="38" t="inlineStr"/>
      <c r="AM76" s="38" t="inlineStr"/>
      <c r="AN76" s="38" t="inlineStr"/>
      <c r="AO76" s="38" t="inlineStr"/>
      <c r="AP76" s="38" t="inlineStr"/>
      <c r="AQ76" s="38" t="n">
        <v>0</v>
      </c>
      <c r="AR76" s="38" t="n"/>
      <c r="AS76" s="38" t="inlineStr"/>
      <c r="AT76" s="38" t="inlineStr"/>
      <c r="AU76" s="38" t="inlineStr"/>
      <c r="AV76" s="38" t="inlineStr"/>
      <c r="AW76" s="38" t="inlineStr"/>
      <c r="AX76" s="38" t="inlineStr"/>
      <c r="AY76" s="38" t="inlineStr"/>
      <c r="AZ76" s="38" t="n"/>
    </row>
    <row r="77">
      <c r="A77" s="10" t="inlineStr">
        <is>
          <t>9060 - WOE - NON-OPERATED WELLS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  <c r="J77" s="38" t="inlineStr"/>
      <c r="K77" s="38" t="inlineStr"/>
      <c r="L77" s="38" t="inlineStr"/>
      <c r="M77" s="38" t="inlineStr"/>
      <c r="N77" s="38" t="inlineStr"/>
      <c r="O77" s="38" t="n">
        <v>0</v>
      </c>
      <c r="P77" s="38" t="n"/>
      <c r="Q77" s="38" t="inlineStr"/>
      <c r="R77" s="38" t="inlineStr"/>
      <c r="S77" s="38" t="inlineStr"/>
      <c r="T77" s="38" t="inlineStr"/>
      <c r="U77" s="38" t="inlineStr"/>
      <c r="V77" s="38" t="inlineStr"/>
      <c r="W77" s="38" t="inlineStr"/>
      <c r="X77" s="38" t="inlineStr"/>
      <c r="Y77" s="38" t="inlineStr"/>
      <c r="Z77" s="38" t="inlineStr"/>
      <c r="AA77" s="38" t="inlineStr"/>
      <c r="AB77" s="38" t="inlineStr"/>
      <c r="AC77" s="38" t="n">
        <v>0</v>
      </c>
      <c r="AD77" s="38" t="n"/>
      <c r="AE77" s="38" t="inlineStr"/>
      <c r="AF77" s="38" t="inlineStr"/>
      <c r="AG77" s="38" t="inlineStr"/>
      <c r="AH77" s="38" t="inlineStr"/>
      <c r="AI77" s="38" t="inlineStr"/>
      <c r="AJ77" s="38" t="inlineStr"/>
      <c r="AK77" s="38" t="inlineStr"/>
      <c r="AL77" s="38" t="inlineStr"/>
      <c r="AM77" s="38" t="inlineStr"/>
      <c r="AN77" s="38" t="inlineStr"/>
      <c r="AO77" s="38" t="inlineStr"/>
      <c r="AP77" s="38" t="inlineStr"/>
      <c r="AQ77" s="38" t="n">
        <v>0</v>
      </c>
      <c r="AR77" s="38" t="n"/>
      <c r="AS77" s="38" t="inlineStr"/>
      <c r="AT77" s="38" t="inlineStr"/>
      <c r="AU77" s="38" t="inlineStr"/>
      <c r="AV77" s="38" t="inlineStr"/>
      <c r="AW77" s="38" t="inlineStr"/>
      <c r="AX77" s="38" t="inlineStr"/>
      <c r="AY77" s="38" t="inlineStr"/>
      <c r="AZ77" s="38" t="n"/>
    </row>
    <row r="78">
      <c r="A78" s="10" t="inlineStr">
        <is>
          <t>9061 - WOE - PUMPING / GAUGER LABOR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  <c r="J78" s="38" t="inlineStr"/>
      <c r="K78" s="38" t="inlineStr"/>
      <c r="L78" s="38" t="inlineStr"/>
      <c r="M78" s="38" t="inlineStr"/>
      <c r="N78" s="38" t="inlineStr"/>
      <c r="O78" s="38" t="n">
        <v>0</v>
      </c>
      <c r="P78" s="38" t="n"/>
      <c r="Q78" s="38" t="inlineStr"/>
      <c r="R78" s="38" t="inlineStr"/>
      <c r="S78" s="38" t="inlineStr"/>
      <c r="T78" s="38" t="inlineStr"/>
      <c r="U78" s="38" t="inlineStr"/>
      <c r="V78" s="38" t="inlineStr"/>
      <c r="W78" s="38" t="inlineStr"/>
      <c r="X78" s="38" t="inlineStr"/>
      <c r="Y78" s="38" t="inlineStr"/>
      <c r="Z78" s="38" t="inlineStr"/>
      <c r="AA78" s="38" t="inlineStr"/>
      <c r="AB78" s="38" t="inlineStr"/>
      <c r="AC78" s="38" t="n">
        <v>0</v>
      </c>
      <c r="AD78" s="38" t="n"/>
      <c r="AE78" s="38" t="inlineStr"/>
      <c r="AF78" s="38" t="inlineStr"/>
      <c r="AG78" s="38" t="inlineStr"/>
      <c r="AH78" s="38" t="inlineStr"/>
      <c r="AI78" s="38" t="inlineStr"/>
      <c r="AJ78" s="38" t="inlineStr"/>
      <c r="AK78" s="38" t="inlineStr"/>
      <c r="AL78" s="38" t="inlineStr"/>
      <c r="AM78" s="38" t="inlineStr"/>
      <c r="AN78" s="38" t="inlineStr"/>
      <c r="AO78" s="38" t="inlineStr"/>
      <c r="AP78" s="38" t="inlineStr"/>
      <c r="AQ78" s="38" t="n">
        <v>0</v>
      </c>
      <c r="AR78" s="38" t="n"/>
      <c r="AS78" s="38" t="inlineStr"/>
      <c r="AT78" s="38" t="inlineStr"/>
      <c r="AU78" s="38" t="inlineStr"/>
      <c r="AV78" s="38" t="inlineStr"/>
      <c r="AW78" s="38" t="inlineStr"/>
      <c r="AX78" s="38" t="inlineStr"/>
      <c r="AY78" s="38" t="inlineStr"/>
      <c r="AZ78" s="38" t="n"/>
    </row>
    <row r="79">
      <c r="A79" s="10" t="inlineStr">
        <is>
          <t>9062 - WOE - REPAIRS AND REPLACEMENT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  <c r="J79" s="38" t="inlineStr"/>
      <c r="K79" s="38" t="inlineStr"/>
      <c r="L79" s="38" t="inlineStr"/>
      <c r="M79" s="38" t="inlineStr"/>
      <c r="N79" s="38" t="inlineStr"/>
      <c r="O79" s="38" t="n">
        <v>0</v>
      </c>
      <c r="P79" s="38" t="n"/>
      <c r="Q79" s="38" t="inlineStr"/>
      <c r="R79" s="38" t="inlineStr"/>
      <c r="S79" s="38" t="inlineStr"/>
      <c r="T79" s="38" t="inlineStr"/>
      <c r="U79" s="38" t="inlineStr"/>
      <c r="V79" s="38" t="inlineStr"/>
      <c r="W79" s="38" t="n">
        <v>335.8</v>
      </c>
      <c r="X79" s="38" t="inlineStr"/>
      <c r="Y79" s="38" t="n">
        <v>352.28</v>
      </c>
      <c r="Z79" s="38" t="inlineStr"/>
      <c r="AA79" s="38" t="inlineStr"/>
      <c r="AB79" s="38" t="inlineStr"/>
      <c r="AC79" s="38" t="n">
        <v>688.0799999999999</v>
      </c>
      <c r="AD79" s="38" t="n"/>
      <c r="AE79" s="38" t="inlineStr"/>
      <c r="AF79" s="38" t="inlineStr"/>
      <c r="AG79" s="38" t="inlineStr"/>
      <c r="AH79" s="38" t="n">
        <v>11582.75</v>
      </c>
      <c r="AI79" s="38" t="n">
        <v>12235</v>
      </c>
      <c r="AJ79" s="38" t="n">
        <v>354.24</v>
      </c>
      <c r="AK79" s="38" t="n">
        <v>4823.79</v>
      </c>
      <c r="AL79" s="38" t="n">
        <v>14817.78</v>
      </c>
      <c r="AM79" s="38" t="n">
        <v>9708.09</v>
      </c>
      <c r="AN79" s="38" t="n">
        <v>21691.61</v>
      </c>
      <c r="AO79" s="38" t="n">
        <v>15424.31</v>
      </c>
      <c r="AP79" s="38" t="n">
        <v>5014.05</v>
      </c>
      <c r="AQ79" s="38" t="n">
        <v>95651.62</v>
      </c>
      <c r="AR79" s="38" t="n"/>
      <c r="AS79" s="38" t="inlineStr"/>
      <c r="AT79" s="38" t="n">
        <v>1713.34</v>
      </c>
      <c r="AU79" s="38" t="n">
        <v>3358.36</v>
      </c>
      <c r="AV79" s="38" t="inlineStr"/>
      <c r="AW79" s="38" t="n">
        <v>178.27</v>
      </c>
      <c r="AX79" s="38" t="inlineStr"/>
      <c r="AY79" s="38" t="inlineStr"/>
      <c r="AZ79" s="38" t="n"/>
    </row>
    <row r="80">
      <c r="A80" s="10" t="inlineStr">
        <is>
          <t>9063 - WOE - SAFETY ENVIR &amp; REGUL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  <c r="J80" s="38" t="inlineStr"/>
      <c r="K80" s="38" t="inlineStr"/>
      <c r="L80" s="38" t="inlineStr"/>
      <c r="M80" s="38" t="inlineStr"/>
      <c r="N80" s="38" t="inlineStr"/>
      <c r="O80" s="38" t="n">
        <v>0</v>
      </c>
      <c r="P80" s="38" t="n"/>
      <c r="Q80" s="38" t="inlineStr"/>
      <c r="R80" s="38" t="inlineStr"/>
      <c r="S80" s="38" t="inlineStr"/>
      <c r="T80" s="38" t="inlineStr"/>
      <c r="U80" s="38" t="inlineStr"/>
      <c r="V80" s="38" t="inlineStr"/>
      <c r="W80" s="38" t="inlineStr"/>
      <c r="X80" s="38" t="inlineStr"/>
      <c r="Y80" s="38" t="inlineStr"/>
      <c r="Z80" s="38" t="inlineStr"/>
      <c r="AA80" s="38" t="inlineStr"/>
      <c r="AB80" s="38" t="inlineStr"/>
      <c r="AC80" s="38" t="n">
        <v>0</v>
      </c>
      <c r="AD80" s="38" t="n"/>
      <c r="AE80" s="38" t="inlineStr"/>
      <c r="AF80" s="38" t="inlineStr"/>
      <c r="AG80" s="38" t="inlineStr"/>
      <c r="AH80" s="38" t="inlineStr"/>
      <c r="AI80" s="38" t="inlineStr"/>
      <c r="AJ80" s="38" t="inlineStr"/>
      <c r="AK80" s="38" t="inlineStr"/>
      <c r="AL80" s="38" t="inlineStr"/>
      <c r="AM80" s="38" t="inlineStr"/>
      <c r="AN80" s="38" t="inlineStr"/>
      <c r="AO80" s="38" t="inlineStr"/>
      <c r="AP80" s="38" t="inlineStr"/>
      <c r="AQ80" s="38" t="n">
        <v>0</v>
      </c>
      <c r="AR80" s="38" t="n"/>
      <c r="AS80" s="38" t="inlineStr"/>
      <c r="AT80" s="38" t="inlineStr"/>
      <c r="AU80" s="38" t="inlineStr"/>
      <c r="AV80" s="38" t="inlineStr"/>
      <c r="AW80" s="38" t="inlineStr"/>
      <c r="AX80" s="38" t="inlineStr"/>
      <c r="AY80" s="38" t="inlineStr"/>
      <c r="AZ80" s="38" t="n"/>
    </row>
    <row r="81">
      <c r="A81" s="10" t="inlineStr">
        <is>
          <t>9064 - WOE - SUPPLIES &amp; MISCELLANEOUS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  <c r="J81" s="38" t="inlineStr"/>
      <c r="K81" s="38" t="inlineStr"/>
      <c r="L81" s="38" t="inlineStr"/>
      <c r="M81" s="38" t="n">
        <v>3518.13</v>
      </c>
      <c r="N81" s="38" t="inlineStr"/>
      <c r="O81" s="38" t="n">
        <v>3518.13</v>
      </c>
      <c r="P81" s="38" t="n"/>
      <c r="Q81" s="38" t="inlineStr"/>
      <c r="R81" s="38" t="inlineStr"/>
      <c r="S81" s="38" t="inlineStr"/>
      <c r="T81" s="38" t="inlineStr"/>
      <c r="U81" s="38" t="inlineStr"/>
      <c r="V81" s="38" t="inlineStr"/>
      <c r="W81" s="38" t="inlineStr"/>
      <c r="X81" s="38" t="inlineStr"/>
      <c r="Y81" s="38" t="inlineStr"/>
      <c r="Z81" s="38" t="n">
        <v>7075.39</v>
      </c>
      <c r="AA81" s="38" t="inlineStr"/>
      <c r="AB81" s="38" t="n">
        <v>51316.10000000001</v>
      </c>
      <c r="AC81" s="38" t="n">
        <v>58391.49000000001</v>
      </c>
      <c r="AD81" s="38" t="n"/>
      <c r="AE81" s="38" t="n">
        <v>8240.530000000001</v>
      </c>
      <c r="AF81" s="38" t="n">
        <v>22429.8</v>
      </c>
      <c r="AG81" s="38" t="n">
        <v>141412.5699999999</v>
      </c>
      <c r="AH81" s="38" t="n">
        <v>212152.03</v>
      </c>
      <c r="AI81" s="38" t="n">
        <v>326736.95</v>
      </c>
      <c r="AJ81" s="38" t="n">
        <v>10800</v>
      </c>
      <c r="AK81" s="38" t="n">
        <v>3940.14</v>
      </c>
      <c r="AL81" s="38" t="n">
        <v>10795.1</v>
      </c>
      <c r="AM81" s="38" t="inlineStr"/>
      <c r="AN81" s="38" t="inlineStr"/>
      <c r="AO81" s="38" t="inlineStr"/>
      <c r="AP81" s="38" t="inlineStr"/>
      <c r="AQ81" s="38" t="n">
        <v>736507.1199999999</v>
      </c>
      <c r="AR81" s="38" t="n"/>
      <c r="AS81" s="38" t="n">
        <v>2170.67</v>
      </c>
      <c r="AT81" s="38" t="n">
        <v>456872.5199999998</v>
      </c>
      <c r="AU81" s="38" t="n">
        <v>928966.4399999999</v>
      </c>
      <c r="AV81" s="38" t="n">
        <v>4393.83</v>
      </c>
      <c r="AW81" s="38" t="n">
        <v>141.25</v>
      </c>
      <c r="AX81" s="38" t="inlineStr"/>
      <c r="AY81" s="38" t="inlineStr"/>
      <c r="AZ81" s="38" t="n"/>
    </row>
    <row r="82">
      <c r="A82" s="10" t="inlineStr">
        <is>
          <t>9065 - WOE - TEMPORARY ABANDONMENT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  <c r="J82" s="38" t="inlineStr"/>
      <c r="K82" s="38" t="inlineStr"/>
      <c r="L82" s="38" t="inlineStr"/>
      <c r="M82" s="38" t="inlineStr"/>
      <c r="N82" s="38" t="inlineStr"/>
      <c r="O82" s="38" t="n">
        <v>0</v>
      </c>
      <c r="P82" s="38" t="n"/>
      <c r="Q82" s="38" t="inlineStr"/>
      <c r="R82" s="38" t="inlineStr"/>
      <c r="S82" s="38" t="inlineStr"/>
      <c r="T82" s="38" t="inlineStr"/>
      <c r="U82" s="38" t="inlineStr"/>
      <c r="V82" s="38" t="inlineStr"/>
      <c r="W82" s="38" t="inlineStr"/>
      <c r="X82" s="38" t="inlineStr"/>
      <c r="Y82" s="38" t="inlineStr"/>
      <c r="Z82" s="38" t="inlineStr"/>
      <c r="AA82" s="38" t="inlineStr"/>
      <c r="AB82" s="38" t="inlineStr"/>
      <c r="AC82" s="38" t="n">
        <v>0</v>
      </c>
      <c r="AD82" s="38" t="n"/>
      <c r="AE82" s="38" t="inlineStr"/>
      <c r="AF82" s="38" t="inlineStr"/>
      <c r="AG82" s="38" t="inlineStr"/>
      <c r="AH82" s="38" t="inlineStr"/>
      <c r="AI82" s="38" t="inlineStr"/>
      <c r="AJ82" s="38" t="inlineStr"/>
      <c r="AK82" s="38" t="inlineStr"/>
      <c r="AL82" s="38" t="inlineStr"/>
      <c r="AM82" s="38" t="inlineStr"/>
      <c r="AN82" s="38" t="inlineStr"/>
      <c r="AO82" s="38" t="inlineStr"/>
      <c r="AP82" s="38" t="inlineStr"/>
      <c r="AQ82" s="38" t="n">
        <v>0</v>
      </c>
      <c r="AR82" s="38" t="n"/>
      <c r="AS82" s="38" t="inlineStr"/>
      <c r="AT82" s="38" t="inlineStr"/>
      <c r="AU82" s="38" t="inlineStr"/>
      <c r="AV82" s="38" t="inlineStr"/>
      <c r="AW82" s="38" t="inlineStr"/>
      <c r="AX82" s="38" t="inlineStr"/>
      <c r="AY82" s="38" t="inlineStr"/>
      <c r="AZ82" s="38" t="n"/>
    </row>
    <row r="83">
      <c r="A83" s="10" t="inlineStr">
        <is>
          <t>9066 - WOE - TUBULAR INSPECTION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  <c r="J83" s="38" t="inlineStr"/>
      <c r="K83" s="38" t="inlineStr"/>
      <c r="L83" s="38" t="inlineStr"/>
      <c r="M83" s="38" t="inlineStr"/>
      <c r="N83" s="38" t="inlineStr"/>
      <c r="O83" s="38" t="n">
        <v>0</v>
      </c>
      <c r="P83" s="38" t="n"/>
      <c r="Q83" s="38" t="inlineStr"/>
      <c r="R83" s="38" t="inlineStr"/>
      <c r="S83" s="38" t="inlineStr"/>
      <c r="T83" s="38" t="inlineStr"/>
      <c r="U83" s="38" t="inlineStr"/>
      <c r="V83" s="38" t="inlineStr"/>
      <c r="W83" s="38" t="inlineStr"/>
      <c r="X83" s="38" t="n">
        <v>3332.5</v>
      </c>
      <c r="Y83" s="38" t="n">
        <v>2648</v>
      </c>
      <c r="Z83" s="38" t="n">
        <v>3153.75</v>
      </c>
      <c r="AA83" s="38" t="inlineStr"/>
      <c r="AB83" s="38" t="inlineStr"/>
      <c r="AC83" s="38" t="n">
        <v>9134.25</v>
      </c>
      <c r="AD83" s="38" t="n"/>
      <c r="AE83" s="38" t="n">
        <v>2816</v>
      </c>
      <c r="AF83" s="38" t="n">
        <v>5329.75</v>
      </c>
      <c r="AG83" s="38" t="n">
        <v>3239.5</v>
      </c>
      <c r="AH83" s="38" t="n">
        <v>7175.5</v>
      </c>
      <c r="AI83" s="38" t="n">
        <v>7428.5</v>
      </c>
      <c r="AJ83" s="38" t="n">
        <v>9647</v>
      </c>
      <c r="AK83" s="38" t="n">
        <v>6104.9</v>
      </c>
      <c r="AL83" s="38" t="n">
        <v>10315.59</v>
      </c>
      <c r="AM83" s="38" t="inlineStr"/>
      <c r="AN83" s="38" t="n">
        <v>11950.99</v>
      </c>
      <c r="AO83" s="38" t="n">
        <v>8153.7</v>
      </c>
      <c r="AP83" s="38" t="n">
        <v>6137</v>
      </c>
      <c r="AQ83" s="38" t="n">
        <v>78298.43000000001</v>
      </c>
      <c r="AR83" s="38" t="n"/>
      <c r="AS83" s="38" t="n">
        <v>3041.5</v>
      </c>
      <c r="AT83" s="38" t="n">
        <v>2965</v>
      </c>
      <c r="AU83" s="38" t="n">
        <v>14785.5</v>
      </c>
      <c r="AV83" s="38" t="inlineStr"/>
      <c r="AW83" s="38" t="n">
        <v>13934.5</v>
      </c>
      <c r="AX83" s="38" t="n">
        <v>6338</v>
      </c>
      <c r="AY83" s="38" t="inlineStr"/>
      <c r="AZ83" s="38" t="n"/>
    </row>
    <row r="84">
      <c r="A84" s="10" t="inlineStr">
        <is>
          <t>9067 - WOE - VACUUM TRUCK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  <c r="J84" s="38" t="inlineStr"/>
      <c r="K84" s="38" t="inlineStr"/>
      <c r="L84" s="38" t="inlineStr"/>
      <c r="M84" s="38" t="n">
        <v>19141.98</v>
      </c>
      <c r="N84" s="38" t="inlineStr"/>
      <c r="O84" s="38" t="n">
        <v>19141.98</v>
      </c>
      <c r="P84" s="38" t="n"/>
      <c r="Q84" s="38" t="inlineStr"/>
      <c r="R84" s="38" t="inlineStr"/>
      <c r="S84" s="38" t="inlineStr"/>
      <c r="T84" s="38" t="inlineStr"/>
      <c r="U84" s="38" t="n">
        <v>3970.010000000001</v>
      </c>
      <c r="V84" s="38" t="n">
        <v>2965.52</v>
      </c>
      <c r="W84" s="38" t="n">
        <v>6428.32</v>
      </c>
      <c r="X84" s="38" t="inlineStr"/>
      <c r="Y84" s="38" t="n">
        <v>2627.23</v>
      </c>
      <c r="Z84" s="38" t="n">
        <v>1320.22</v>
      </c>
      <c r="AA84" s="38" t="inlineStr"/>
      <c r="AB84" s="38" t="inlineStr"/>
      <c r="AC84" s="38" t="n">
        <v>17311.3</v>
      </c>
      <c r="AD84" s="38" t="n"/>
      <c r="AE84" s="38" t="n">
        <v>3201.119999999999</v>
      </c>
      <c r="AF84" s="38" t="n">
        <v>4765.37</v>
      </c>
      <c r="AG84" s="38" t="n">
        <v>2250.6</v>
      </c>
      <c r="AH84" s="38" t="n">
        <v>7640.23</v>
      </c>
      <c r="AI84" s="38" t="n">
        <v>4151.280000000001</v>
      </c>
      <c r="AJ84" s="38" t="n">
        <v>7061.429999999999</v>
      </c>
      <c r="AK84" s="38" t="n">
        <v>2244.39</v>
      </c>
      <c r="AL84" s="38" t="n">
        <v>4097.360000000001</v>
      </c>
      <c r="AM84" s="38" t="inlineStr"/>
      <c r="AN84" s="38" t="n">
        <v>1366.82</v>
      </c>
      <c r="AO84" s="38" t="n">
        <v>773.4999999999999</v>
      </c>
      <c r="AP84" s="38" t="inlineStr"/>
      <c r="AQ84" s="38" t="n">
        <v>37552.1</v>
      </c>
      <c r="AR84" s="38" t="n"/>
      <c r="AS84" s="38" t="n">
        <v>1230.13</v>
      </c>
      <c r="AT84" s="38" t="n">
        <v>7533.150000000003</v>
      </c>
      <c r="AU84" s="38" t="inlineStr"/>
      <c r="AV84" s="38" t="inlineStr"/>
      <c r="AW84" s="38" t="inlineStr"/>
      <c r="AX84" s="38" t="inlineStr"/>
      <c r="AY84" s="38" t="inlineStr"/>
      <c r="AZ84" s="38" t="n"/>
    </row>
    <row r="85">
      <c r="A85" s="10" t="inlineStr">
        <is>
          <t>9068 - WOE - WIRELINE</t>
        </is>
      </c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  <c r="J85" s="38" t="inlineStr"/>
      <c r="K85" s="38" t="inlineStr"/>
      <c r="L85" s="38" t="inlineStr"/>
      <c r="M85" s="38" t="inlineStr"/>
      <c r="N85" s="38" t="inlineStr"/>
      <c r="O85" s="38" t="n">
        <v>0</v>
      </c>
      <c r="P85" s="38" t="n"/>
      <c r="Q85" s="38" t="inlineStr"/>
      <c r="R85" s="38" t="inlineStr"/>
      <c r="S85" s="38" t="inlineStr"/>
      <c r="T85" s="38" t="inlineStr"/>
      <c r="U85" s="38" t="inlineStr"/>
      <c r="V85" s="38" t="inlineStr"/>
      <c r="W85" s="38" t="inlineStr"/>
      <c r="X85" s="38" t="inlineStr"/>
      <c r="Y85" s="38" t="inlineStr"/>
      <c r="Z85" s="38" t="inlineStr"/>
      <c r="AA85" s="38" t="inlineStr"/>
      <c r="AB85" s="38" t="inlineStr"/>
      <c r="AC85" s="38" t="n">
        <v>0</v>
      </c>
      <c r="AD85" s="38" t="n"/>
      <c r="AE85" s="38" t="n">
        <v>3301.24</v>
      </c>
      <c r="AF85" s="38" t="n">
        <v>3490</v>
      </c>
      <c r="AG85" s="38" t="n">
        <v>12148.59</v>
      </c>
      <c r="AH85" s="38" t="n">
        <v>14788.79</v>
      </c>
      <c r="AI85" s="38" t="n">
        <v>21512.62</v>
      </c>
      <c r="AJ85" s="38" t="inlineStr"/>
      <c r="AK85" s="38" t="n">
        <v>648.6799999999999</v>
      </c>
      <c r="AL85" s="38" t="inlineStr"/>
      <c r="AM85" s="38" t="inlineStr"/>
      <c r="AN85" s="38" t="inlineStr"/>
      <c r="AO85" s="38" t="inlineStr"/>
      <c r="AP85" s="38" t="inlineStr"/>
      <c r="AQ85" s="38" t="n">
        <v>55889.92000000001</v>
      </c>
      <c r="AR85" s="38" t="n"/>
      <c r="AS85" s="38" t="inlineStr"/>
      <c r="AT85" s="38" t="n">
        <v>43457.96</v>
      </c>
      <c r="AU85" s="38" t="n">
        <v>59296.95</v>
      </c>
      <c r="AV85" s="38" t="inlineStr"/>
      <c r="AW85" s="38" t="inlineStr"/>
      <c r="AX85" s="38" t="inlineStr"/>
      <c r="AY85" s="38" t="n">
        <v>12110</v>
      </c>
      <c r="AZ85" s="38" t="n"/>
    </row>
    <row r="86">
      <c r="A86" s="10" t="inlineStr">
        <is>
          <t>9069 - WOE - ADMINISTRATIVE OVERHEAD</t>
        </is>
      </c>
      <c r="C86" s="38" t="inlineStr"/>
      <c r="D86" s="38" t="inlineStr"/>
      <c r="E86" s="38" t="inlineStr"/>
      <c r="F86" s="38" t="inlineStr"/>
      <c r="G86" s="38" t="inlineStr"/>
      <c r="H86" s="38" t="inlineStr"/>
      <c r="I86" s="38" t="inlineStr"/>
      <c r="J86" s="38" t="inlineStr"/>
      <c r="K86" s="38" t="inlineStr"/>
      <c r="L86" s="38" t="inlineStr"/>
      <c r="M86" s="38" t="inlineStr"/>
      <c r="N86" s="38" t="inlineStr"/>
      <c r="O86" s="38" t="n">
        <v>0</v>
      </c>
      <c r="P86" s="38" t="n"/>
      <c r="Q86" s="38" t="inlineStr"/>
      <c r="R86" s="38" t="inlineStr"/>
      <c r="S86" s="38" t="inlineStr"/>
      <c r="T86" s="38" t="inlineStr"/>
      <c r="U86" s="38" t="inlineStr"/>
      <c r="V86" s="38" t="inlineStr"/>
      <c r="W86" s="38" t="inlineStr"/>
      <c r="X86" s="38" t="inlineStr"/>
      <c r="Y86" s="38" t="inlineStr"/>
      <c r="Z86" s="38" t="inlineStr"/>
      <c r="AA86" s="38" t="inlineStr"/>
      <c r="AB86" s="38" t="inlineStr"/>
      <c r="AC86" s="38" t="n">
        <v>0</v>
      </c>
      <c r="AD86" s="38" t="n"/>
      <c r="AE86" s="38" t="inlineStr"/>
      <c r="AF86" s="38" t="inlineStr"/>
      <c r="AG86" s="38" t="inlineStr"/>
      <c r="AH86" s="38" t="inlineStr"/>
      <c r="AI86" s="38" t="inlineStr"/>
      <c r="AJ86" s="38" t="inlineStr"/>
      <c r="AK86" s="38" t="inlineStr"/>
      <c r="AL86" s="38" t="inlineStr"/>
      <c r="AM86" s="38" t="inlineStr"/>
      <c r="AN86" s="38" t="inlineStr"/>
      <c r="AO86" s="38" t="inlineStr"/>
      <c r="AP86" s="38" t="inlineStr"/>
      <c r="AQ86" s="38" t="n">
        <v>0</v>
      </c>
      <c r="AR86" s="38" t="n"/>
      <c r="AS86" s="38" t="inlineStr"/>
      <c r="AT86" s="38" t="inlineStr"/>
      <c r="AU86" s="38" t="inlineStr"/>
      <c r="AV86" s="38" t="inlineStr"/>
      <c r="AW86" s="38" t="inlineStr"/>
      <c r="AX86" s="38" t="inlineStr"/>
      <c r="AY86" s="38" t="inlineStr"/>
      <c r="AZ86" s="38" t="n"/>
    </row>
    <row r="87">
      <c r="A87" s="12" t="inlineStr">
        <is>
          <t>9070 - WOE - WORKOVER RIG</t>
        </is>
      </c>
      <c r="B87" s="14" t="n"/>
      <c r="C87" s="38" t="inlineStr"/>
      <c r="D87" s="38" t="inlineStr"/>
      <c r="E87" s="38" t="inlineStr"/>
      <c r="F87" s="38" t="inlineStr"/>
      <c r="G87" s="38" t="inlineStr"/>
      <c r="H87" s="38" t="inlineStr"/>
      <c r="I87" s="38" t="inlineStr"/>
      <c r="J87" s="38" t="inlineStr"/>
      <c r="K87" s="38" t="inlineStr"/>
      <c r="L87" s="38" t="inlineStr"/>
      <c r="M87" s="38" t="inlineStr"/>
      <c r="N87" s="38" t="inlineStr"/>
      <c r="O87" s="38" t="n">
        <v>0</v>
      </c>
      <c r="P87" s="38" t="n"/>
      <c r="Q87" s="38" t="inlineStr"/>
      <c r="R87" s="38" t="inlineStr"/>
      <c r="S87" s="38" t="inlineStr"/>
      <c r="T87" s="38" t="inlineStr"/>
      <c r="U87" s="38" t="inlineStr"/>
      <c r="V87" s="38" t="inlineStr"/>
      <c r="W87" s="38" t="inlineStr"/>
      <c r="X87" s="38" t="n">
        <v>12440.64</v>
      </c>
      <c r="Y87" s="38" t="n">
        <v>10749.23</v>
      </c>
      <c r="Z87" s="38" t="n">
        <v>13049.54</v>
      </c>
      <c r="AA87" s="38" t="inlineStr"/>
      <c r="AB87" s="38" t="inlineStr"/>
      <c r="AC87" s="38" t="n">
        <v>36239.41</v>
      </c>
      <c r="AD87" s="38" t="n"/>
      <c r="AE87" s="38" t="n">
        <v>10072.66</v>
      </c>
      <c r="AF87" s="38" t="n">
        <v>29136.56</v>
      </c>
      <c r="AG87" s="38" t="n">
        <v>9181.219999999999</v>
      </c>
      <c r="AH87" s="38" t="n">
        <v>25828.46</v>
      </c>
      <c r="AI87" s="38" t="n">
        <v>28480.01</v>
      </c>
      <c r="AJ87" s="38" t="n">
        <v>23046.41</v>
      </c>
      <c r="AK87" s="38" t="n">
        <v>30093.41</v>
      </c>
      <c r="AL87" s="38" t="n">
        <v>24272.28</v>
      </c>
      <c r="AM87" s="38" t="inlineStr"/>
      <c r="AN87" s="38" t="n">
        <v>21537.5</v>
      </c>
      <c r="AO87" s="38" t="n">
        <v>21712.95</v>
      </c>
      <c r="AP87" s="38" t="n">
        <v>25219.69</v>
      </c>
      <c r="AQ87" s="38" t="n">
        <v>248581.15</v>
      </c>
      <c r="AR87" s="38" t="n"/>
      <c r="AS87" s="38" t="n">
        <v>15372</v>
      </c>
      <c r="AT87" s="38" t="n">
        <v>9447.379999999999</v>
      </c>
      <c r="AU87" s="38" t="n">
        <v>37570.38</v>
      </c>
      <c r="AV87" s="38" t="inlineStr"/>
      <c r="AW87" s="38" t="n">
        <v>40618.38</v>
      </c>
      <c r="AX87" s="38" t="n">
        <v>12586.5</v>
      </c>
      <c r="AY87" s="38" t="inlineStr"/>
      <c r="AZ87" s="38" t="n"/>
    </row>
    <row r="88">
      <c r="A88" s="21" t="inlineStr">
        <is>
          <t>Total Workover Expense</t>
        </is>
      </c>
      <c r="C88" s="38" t="n">
        <v>0</v>
      </c>
      <c r="D88" s="38" t="n">
        <v>0</v>
      </c>
      <c r="E88" s="38" t="n">
        <v>0</v>
      </c>
      <c r="F88" s="38" t="n">
        <v>127.92</v>
      </c>
      <c r="G88" s="38" t="n">
        <v>139.83</v>
      </c>
      <c r="H88" s="38" t="n">
        <v>142.69</v>
      </c>
      <c r="I88" s="38" t="n">
        <v>302.8799999999999</v>
      </c>
      <c r="J88" s="38" t="n">
        <v>37.12</v>
      </c>
      <c r="K88" s="38" t="n">
        <v>32.45</v>
      </c>
      <c r="L88" s="38" t="n">
        <v>11793.75</v>
      </c>
      <c r="M88" s="38" t="n">
        <v>57202.88</v>
      </c>
      <c r="N88" s="38" t="n">
        <v>992.53</v>
      </c>
      <c r="O88" s="38" t="n">
        <v>70772.05</v>
      </c>
      <c r="P88" s="38" t="n"/>
      <c r="Q88" s="38" t="n">
        <v>31.82</v>
      </c>
      <c r="R88" s="38" t="n">
        <v>35.66</v>
      </c>
      <c r="S88" s="38" t="n">
        <v>35.44</v>
      </c>
      <c r="T88" s="38" t="n">
        <v>56.26000000000001</v>
      </c>
      <c r="U88" s="38" t="n">
        <v>30757.54</v>
      </c>
      <c r="V88" s="38" t="n">
        <v>25960.04000000001</v>
      </c>
      <c r="W88" s="38" t="n">
        <v>21766.02</v>
      </c>
      <c r="X88" s="38" t="n">
        <v>67360.16</v>
      </c>
      <c r="Y88" s="38" t="n">
        <v>92487.8</v>
      </c>
      <c r="Z88" s="38" t="n">
        <v>127221.29</v>
      </c>
      <c r="AA88" s="38" t="n">
        <v>500.74</v>
      </c>
      <c r="AB88" s="38" t="n">
        <v>67581.90000000001</v>
      </c>
      <c r="AC88" s="38" t="n">
        <v>433794.67</v>
      </c>
      <c r="AD88" s="38" t="n"/>
      <c r="AE88" s="38" t="n">
        <v>103369.15</v>
      </c>
      <c r="AF88" s="38" t="n">
        <v>307651.31</v>
      </c>
      <c r="AG88" s="38" t="n">
        <v>203809.1799999999</v>
      </c>
      <c r="AH88" s="38" t="n">
        <v>363182.49</v>
      </c>
      <c r="AI88" s="38" t="n">
        <v>514695.21</v>
      </c>
      <c r="AJ88" s="38" t="n">
        <v>207542.47</v>
      </c>
      <c r="AK88" s="38" t="n">
        <v>146293.73</v>
      </c>
      <c r="AL88" s="38" t="n">
        <v>169816.47</v>
      </c>
      <c r="AM88" s="38" t="n">
        <v>10164.98</v>
      </c>
      <c r="AN88" s="38" t="n">
        <v>132993.2</v>
      </c>
      <c r="AO88" s="38" t="n">
        <v>150495.22</v>
      </c>
      <c r="AP88" s="38" t="n">
        <v>134178.88</v>
      </c>
      <c r="AQ88" s="38" t="n">
        <v>2444192.29</v>
      </c>
      <c r="AR88" s="38" t="n"/>
      <c r="AS88" s="38" t="n">
        <v>87835.38</v>
      </c>
      <c r="AT88" s="38" t="n">
        <v>577740.7499999998</v>
      </c>
      <c r="AU88" s="38" t="n">
        <v>1297582.08</v>
      </c>
      <c r="AV88" s="38" t="n">
        <v>12134.67</v>
      </c>
      <c r="AW88" s="38" t="n">
        <v>181919.09</v>
      </c>
      <c r="AX88" s="38" t="n">
        <v>72193.36</v>
      </c>
      <c r="AY88" s="38" t="n">
        <v>16402.04</v>
      </c>
      <c r="AZ88" s="38" t="n"/>
    </row>
    <row r="89"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</row>
    <row r="90" ht="15.75" customHeight="1" thickBot="1">
      <c r="A90" s="24" t="inlineStr">
        <is>
          <t>Well Profitablity</t>
        </is>
      </c>
      <c r="B90" s="23" t="n"/>
      <c r="C90" s="7" t="n">
        <v>0</v>
      </c>
      <c r="D90" s="7" t="n">
        <v>-97475</v>
      </c>
      <c r="E90" s="7" t="n">
        <v>-21.19</v>
      </c>
      <c r="F90" s="7" t="n">
        <v>-28234.55</v>
      </c>
      <c r="G90" s="7" t="n">
        <v>-72591.71000000001</v>
      </c>
      <c r="H90" s="7" t="n">
        <v>6057279.24</v>
      </c>
      <c r="I90" s="7" t="n">
        <v>6794373.19</v>
      </c>
      <c r="J90" s="7" t="n">
        <v>5333381.259999999</v>
      </c>
      <c r="K90" s="7" t="n">
        <v>10403634.66</v>
      </c>
      <c r="L90" s="7" t="n">
        <v>26670360.41</v>
      </c>
      <c r="M90" s="7" t="n">
        <v>22391247.55</v>
      </c>
      <c r="N90" s="7" t="n">
        <v>25041207.65</v>
      </c>
      <c r="O90" s="7" t="n">
        <v>102493161.51</v>
      </c>
      <c r="P90" s="7" t="n"/>
      <c r="Q90" s="7" t="n">
        <v>42562006.25000001</v>
      </c>
      <c r="R90" s="7" t="n">
        <v>44670606.17</v>
      </c>
      <c r="S90" s="7" t="n">
        <v>50175092.64000002</v>
      </c>
      <c r="T90" s="7" t="n">
        <v>70433452.02</v>
      </c>
      <c r="U90" s="7" t="n">
        <v>74082588.51000001</v>
      </c>
      <c r="V90" s="7" t="n">
        <v>87611847.53999999</v>
      </c>
      <c r="W90" s="7" t="n">
        <v>103479497.9</v>
      </c>
      <c r="X90" s="7" t="n">
        <v>113246130.7199999</v>
      </c>
      <c r="Y90" s="7" t="n">
        <v>128563054.4</v>
      </c>
      <c r="Z90" s="7" t="n">
        <v>135306848.23</v>
      </c>
      <c r="AA90" s="7" t="n">
        <v>103887543.1499999</v>
      </c>
      <c r="AB90" s="7" t="n">
        <v>98225037.39999999</v>
      </c>
      <c r="AC90" s="7" t="n">
        <v>1052243704.93</v>
      </c>
      <c r="AD90" s="7" t="n"/>
      <c r="AE90" s="7" t="n">
        <v>100015429.4</v>
      </c>
      <c r="AF90" s="7" t="n">
        <v>74907907.73999998</v>
      </c>
      <c r="AG90" s="7" t="n">
        <v>64281483.02999999</v>
      </c>
      <c r="AH90" s="7" t="n">
        <v>49880394.44000002</v>
      </c>
      <c r="AI90" s="7" t="n">
        <v>61555060.15999998</v>
      </c>
      <c r="AJ90" s="7" t="n">
        <v>65995751.26000002</v>
      </c>
      <c r="AK90" s="7" t="n">
        <v>71223462.83</v>
      </c>
      <c r="AL90" s="7" t="n">
        <v>59007453.6</v>
      </c>
      <c r="AM90" s="7" t="n">
        <v>66344276.68000003</v>
      </c>
      <c r="AN90" s="7" t="n">
        <v>79433767.31000003</v>
      </c>
      <c r="AO90" s="7" t="n">
        <v>64930342.73000001</v>
      </c>
      <c r="AP90" s="7" t="n">
        <v>44910492.64999998</v>
      </c>
      <c r="AQ90" s="7" t="n">
        <v>802485821.83</v>
      </c>
      <c r="AR90" s="7" t="n"/>
      <c r="AS90" s="7" t="n">
        <v>69208891.71000001</v>
      </c>
      <c r="AT90" s="7" t="n">
        <v>71142445.02</v>
      </c>
      <c r="AU90" s="7" t="n">
        <v>131699651.4600001</v>
      </c>
      <c r="AV90" s="7" t="n">
        <v>130488155.5499999</v>
      </c>
      <c r="AW90" s="7" t="n">
        <v>161955749.83</v>
      </c>
      <c r="AX90" s="7" t="n">
        <v>135890407.35</v>
      </c>
      <c r="AY90" s="7" t="n">
        <v>153375940.46</v>
      </c>
    </row>
    <row r="91" ht="15.75" customHeight="1" thickTop="1"/>
    <row r="92">
      <c r="A92" s="2" t="inlineStr">
        <is>
          <t>SHRINK (SALES FRAC)</t>
        </is>
      </c>
      <c r="B92" s="5" t="n"/>
      <c r="C92" s="25" t="n"/>
      <c r="D92" s="25" t="n"/>
      <c r="E92" s="25" t="n"/>
      <c r="F92" s="25" t="n"/>
      <c r="G92" s="25" t="n"/>
      <c r="H92" s="25">
        <f>H4/H106</f>
        <v/>
      </c>
      <c r="I92" s="25">
        <f>I4/I106</f>
        <v/>
      </c>
      <c r="J92" s="25">
        <f>J4/J106</f>
        <v/>
      </c>
      <c r="K92" s="25">
        <f>K4/K106</f>
        <v/>
      </c>
      <c r="L92" s="25">
        <f>L4/L106</f>
        <v/>
      </c>
      <c r="M92" s="25">
        <f>M4/M106</f>
        <v/>
      </c>
      <c r="N92" s="25">
        <f>N4/N106</f>
        <v/>
      </c>
      <c r="O92" s="25" t="n"/>
      <c r="P92" s="25" t="n"/>
      <c r="Q92" s="25">
        <f>Q4/Q106</f>
        <v/>
      </c>
      <c r="R92" s="25">
        <f>R4/R106</f>
        <v/>
      </c>
      <c r="S92" s="25">
        <f>S4/S106</f>
        <v/>
      </c>
      <c r="T92" s="25">
        <f>T4/T106</f>
        <v/>
      </c>
      <c r="U92" s="25">
        <f>U4/U106</f>
        <v/>
      </c>
      <c r="V92" s="25">
        <f>V4/V106</f>
        <v/>
      </c>
      <c r="W92" s="25">
        <f>W4/W106</f>
        <v/>
      </c>
      <c r="X92" s="25">
        <f>X4/X106</f>
        <v/>
      </c>
      <c r="Y92" s="25">
        <f>Y4/Y106</f>
        <v/>
      </c>
      <c r="Z92" s="25">
        <f>Z4/Z106</f>
        <v/>
      </c>
      <c r="AA92" s="25">
        <f>AA4/AA106</f>
        <v/>
      </c>
      <c r="AB92" s="25">
        <f>AB4/AB106</f>
        <v/>
      </c>
      <c r="AC92" s="25" t="n"/>
      <c r="AD92" s="5" t="n"/>
      <c r="AE92" s="25">
        <f>AE4/AE106</f>
        <v/>
      </c>
      <c r="AF92" s="25">
        <f>AF4/AF106</f>
        <v/>
      </c>
      <c r="AG92" s="25">
        <f>AG4/AG106</f>
        <v/>
      </c>
      <c r="AH92" s="25">
        <f>AH4/AH106</f>
        <v/>
      </c>
      <c r="AI92" s="25">
        <f>AI4/AI106</f>
        <v/>
      </c>
      <c r="AJ92" s="25">
        <f>AJ4/AJ106</f>
        <v/>
      </c>
      <c r="AK92" s="25">
        <f>AK4/AK106</f>
        <v/>
      </c>
      <c r="AL92" s="25">
        <f>AL4/AL106</f>
        <v/>
      </c>
      <c r="AM92" s="25">
        <f>AM4/AM106</f>
        <v/>
      </c>
      <c r="AN92" s="25">
        <f>AN4/AN106</f>
        <v/>
      </c>
      <c r="AO92" s="25">
        <f>AO4/AO106</f>
        <v/>
      </c>
      <c r="AP92" s="25">
        <f>AP4/AP106</f>
        <v/>
      </c>
      <c r="AQ92" s="25" t="n"/>
      <c r="AR92" s="25" t="n"/>
      <c r="AS92" s="25">
        <f>AS4/AS106</f>
        <v/>
      </c>
      <c r="AT92" s="25">
        <f>AT4/AT106</f>
        <v/>
      </c>
      <c r="AU92" s="25">
        <f>AU4/AU106</f>
        <v/>
      </c>
      <c r="AV92" s="25">
        <f>AV4/AV106</f>
        <v/>
      </c>
      <c r="AW92" s="25">
        <f>AW4/AW106</f>
        <v/>
      </c>
      <c r="AX92" s="25">
        <f>AX4/AX106</f>
        <v/>
      </c>
      <c r="AY92" s="25">
        <f>AY4/AY106</f>
        <v/>
      </c>
    </row>
    <row r="93">
      <c r="A93" s="2" t="inlineStr">
        <is>
          <t>YIELD</t>
        </is>
      </c>
      <c r="B93" s="5" t="n"/>
      <c r="C93" s="50" t="n"/>
      <c r="D93" s="50" t="n"/>
      <c r="E93" s="50" t="n"/>
      <c r="F93" s="50" t="n"/>
      <c r="G93" s="50" t="n"/>
      <c r="H93" s="50">
        <f>H5/H106*1000</f>
        <v/>
      </c>
      <c r="I93" s="50">
        <f>I5/I106*1000</f>
        <v/>
      </c>
      <c r="J93" s="50">
        <f>J5/J106*1000</f>
        <v/>
      </c>
      <c r="K93" s="50">
        <f>K5/K106*1000</f>
        <v/>
      </c>
      <c r="L93" s="50">
        <f>L5/L106*1000</f>
        <v/>
      </c>
      <c r="M93" s="50">
        <f>M5/M106*1000</f>
        <v/>
      </c>
      <c r="N93" s="50">
        <f>N5/N106*1000</f>
        <v/>
      </c>
      <c r="O93" s="50" t="n"/>
      <c r="P93" s="50" t="n"/>
      <c r="Q93" s="50">
        <f>Q5/Q106*1000</f>
        <v/>
      </c>
      <c r="R93" s="50">
        <f>R5/R106*1000</f>
        <v/>
      </c>
      <c r="S93" s="50">
        <f>S5/S106*1000</f>
        <v/>
      </c>
      <c r="T93" s="50">
        <f>T5/T106*1000</f>
        <v/>
      </c>
      <c r="U93" s="50">
        <f>U5/U106*1000</f>
        <v/>
      </c>
      <c r="V93" s="50">
        <f>V5/V106*1000</f>
        <v/>
      </c>
      <c r="W93" s="50">
        <f>W5/W106*1000</f>
        <v/>
      </c>
      <c r="X93" s="50">
        <f>X5/X106*1000</f>
        <v/>
      </c>
      <c r="Y93" s="50">
        <f>Y5/Y106*1000</f>
        <v/>
      </c>
      <c r="Z93" s="50">
        <f>Z5/Z106*1000</f>
        <v/>
      </c>
      <c r="AA93" s="50">
        <f>AA5/AA106*1000</f>
        <v/>
      </c>
      <c r="AB93" s="50">
        <f>AB5/AB106*1000</f>
        <v/>
      </c>
      <c r="AC93" s="50" t="n"/>
      <c r="AD93" s="44" t="n"/>
      <c r="AE93" s="50">
        <f>AE5/AE106*1000</f>
        <v/>
      </c>
      <c r="AF93" s="50">
        <f>AF5/AF106*1000</f>
        <v/>
      </c>
      <c r="AG93" s="50">
        <f>AG5/AG106*1000</f>
        <v/>
      </c>
      <c r="AH93" s="50">
        <f>AH5/AH106*1000</f>
        <v/>
      </c>
      <c r="AI93" s="50">
        <f>AI5/AI106*1000</f>
        <v/>
      </c>
      <c r="AJ93" s="50">
        <f>AJ5/AJ106*1000</f>
        <v/>
      </c>
      <c r="AK93" s="50">
        <f>AK5/AK106*1000</f>
        <v/>
      </c>
      <c r="AL93" s="50">
        <f>AL5/AL106*1000</f>
        <v/>
      </c>
      <c r="AM93" s="50">
        <f>AM5/AM106*1000</f>
        <v/>
      </c>
      <c r="AN93" s="50">
        <f>AN5/AN106*1000</f>
        <v/>
      </c>
      <c r="AO93" s="50">
        <f>AO5/AO106*1000</f>
        <v/>
      </c>
      <c r="AP93" s="50">
        <f>AP5/AP106*1000</f>
        <v/>
      </c>
      <c r="AQ93" s="50" t="n"/>
      <c r="AR93" s="50" t="n"/>
      <c r="AS93" s="50">
        <f>AS5/AS106*1000</f>
        <v/>
      </c>
      <c r="AT93" s="50">
        <f>AT5/AT106*1000</f>
        <v/>
      </c>
      <c r="AU93" s="50">
        <f>AU5/AU106*1000</f>
        <v/>
      </c>
      <c r="AV93" s="50">
        <f>AV5/AV106*1000</f>
        <v/>
      </c>
      <c r="AW93" s="50">
        <f>AW5/AW106*1000</f>
        <v/>
      </c>
      <c r="AX93" s="50">
        <f>AX5/AX106*1000</f>
        <v/>
      </c>
      <c r="AY93" s="50">
        <f>AY5/AY106*1000</f>
        <v/>
      </c>
      <c r="AZ93" s="43" t="n"/>
    </row>
    <row r="94">
      <c r="A94" s="5" t="n"/>
    </row>
    <row r="95">
      <c r="A95" s="2" t="inlineStr">
        <is>
          <t xml:space="preserve">OPEX </t>
        </is>
      </c>
      <c r="C95" s="38" t="n"/>
      <c r="D95" s="38" t="n"/>
      <c r="E95" s="38" t="n"/>
      <c r="F95" s="38" t="n"/>
      <c r="G95" s="38" t="n"/>
      <c r="H95" s="39" t="n"/>
      <c r="I95" s="39" t="n"/>
      <c r="J95" s="39" t="n"/>
      <c r="K95" s="39" t="n"/>
      <c r="L95" s="39" t="n"/>
      <c r="M95" s="39" t="n"/>
      <c r="N95" s="39" t="n"/>
      <c r="O95" s="38" t="n"/>
      <c r="P95" s="38" t="n"/>
      <c r="Q95" s="39" t="n"/>
      <c r="R95" s="39" t="n"/>
      <c r="S95" s="39" t="n"/>
      <c r="T95" s="39" t="n"/>
      <c r="U95" s="39" t="n"/>
      <c r="V95" s="39" t="n"/>
      <c r="W95" s="39" t="n"/>
      <c r="X95" s="39" t="n"/>
      <c r="Y95" s="39" t="n"/>
      <c r="Z95" s="39" t="n"/>
      <c r="AA95" s="39" t="n"/>
      <c r="AB95" s="39" t="n"/>
      <c r="AC95" s="45" t="n"/>
      <c r="AD95" s="38" t="n"/>
      <c r="AE95" s="39" t="n"/>
      <c r="AF95" s="39" t="n"/>
      <c r="AG95" s="39" t="n"/>
      <c r="AH95" s="39" t="n"/>
      <c r="AI95" s="39" t="n"/>
      <c r="AJ95" s="39" t="n"/>
      <c r="AK95" s="39" t="n"/>
      <c r="AL95" s="39" t="n"/>
      <c r="AM95" s="39" t="n"/>
      <c r="AN95" s="38" t="n"/>
      <c r="AO95" s="38" t="n"/>
      <c r="AP95" s="38" t="n"/>
      <c r="AQ95" s="38" t="n"/>
      <c r="AR95" s="38" t="n"/>
      <c r="AS95" s="38" t="n"/>
      <c r="AT95" s="38" t="n"/>
      <c r="AU95" s="38" t="n"/>
      <c r="AV95" s="38" t="n"/>
      <c r="AW95" s="38" t="n"/>
      <c r="AX95" s="38" t="n"/>
      <c r="AY95" s="46" t="n"/>
      <c r="AZ95" s="38" t="n"/>
    </row>
    <row r="96">
      <c r="A96" s="29" t="inlineStr">
        <is>
          <t>$/BW</t>
        </is>
      </c>
      <c r="C96" s="51" t="n"/>
      <c r="D96" s="51" t="n"/>
      <c r="E96" s="51" t="n"/>
      <c r="F96" s="51" t="n"/>
      <c r="G96" s="51" t="n"/>
      <c r="H96" s="51" t="n"/>
      <c r="I96" s="51" t="n"/>
      <c r="J96" s="51" t="n"/>
      <c r="K96" s="51" t="n"/>
      <c r="L96" s="51" t="n"/>
      <c r="M96" s="51" t="n"/>
      <c r="N96" s="51" t="n"/>
      <c r="O96" s="51" t="n"/>
      <c r="P96" s="51" t="n"/>
      <c r="Q96" s="52">
        <f>Q55/Q107</f>
        <v/>
      </c>
      <c r="R96" s="52">
        <f>R55/R107</f>
        <v/>
      </c>
      <c r="S96" s="52">
        <f>S55/S107</f>
        <v/>
      </c>
      <c r="T96" s="52">
        <f>T55/T107</f>
        <v/>
      </c>
      <c r="U96" s="52">
        <f>U55/U107</f>
        <v/>
      </c>
      <c r="V96" s="52">
        <f>V55/V107</f>
        <v/>
      </c>
      <c r="W96" s="52">
        <f>W55/W107</f>
        <v/>
      </c>
      <c r="X96" s="52">
        <f>X55/X107</f>
        <v/>
      </c>
      <c r="Y96" s="52">
        <f>Y55/Y107</f>
        <v/>
      </c>
      <c r="Z96" s="52">
        <f>Z55/Z107</f>
        <v/>
      </c>
      <c r="AA96" s="52">
        <f>AA55/AA107</f>
        <v/>
      </c>
      <c r="AB96" s="52">
        <f>AB55/AB107</f>
        <v/>
      </c>
      <c r="AC96" s="51" t="n"/>
      <c r="AD96" s="51" t="n"/>
      <c r="AE96" s="52">
        <f>AE55/AE107</f>
        <v/>
      </c>
      <c r="AF96" s="52">
        <f>AF55/AF107</f>
        <v/>
      </c>
      <c r="AG96" s="52">
        <f>AG55/AG107</f>
        <v/>
      </c>
      <c r="AH96" s="52">
        <f>AH55/AH107</f>
        <v/>
      </c>
      <c r="AI96" s="52">
        <f>AI55/AI107</f>
        <v/>
      </c>
      <c r="AJ96" s="52">
        <f>AJ55/AJ107</f>
        <v/>
      </c>
      <c r="AK96" s="52">
        <f>AK55/AK107</f>
        <v/>
      </c>
      <c r="AL96" s="52">
        <f>AL55/AL107</f>
        <v/>
      </c>
      <c r="AM96" s="52">
        <f>AM55/AM107</f>
        <v/>
      </c>
      <c r="AN96" s="52">
        <f>AN55/AN107</f>
        <v/>
      </c>
      <c r="AO96" s="52">
        <f>AO55/AO107</f>
        <v/>
      </c>
      <c r="AP96" s="52">
        <f>AP55/AP107</f>
        <v/>
      </c>
      <c r="AQ96" s="51" t="n"/>
      <c r="AR96" s="52" t="n"/>
      <c r="AS96" s="52">
        <f>AS55/AS107</f>
        <v/>
      </c>
      <c r="AT96" s="52">
        <f>AT55/AT107</f>
        <v/>
      </c>
      <c r="AU96" s="52">
        <f>AU55/AU107</f>
        <v/>
      </c>
      <c r="AV96" s="52">
        <f>AV55/AV107</f>
        <v/>
      </c>
      <c r="AW96" s="52">
        <f>AW55/AW107</f>
        <v/>
      </c>
      <c r="AX96" s="52">
        <f>AX55/AX107</f>
        <v/>
      </c>
      <c r="AY96" s="52">
        <f>AY55/AY107</f>
        <v/>
      </c>
      <c r="AZ96" s="55" t="inlineStr">
        <is>
          <t>*NO INCOME, ONLY SHOWN ON NET TAB</t>
        </is>
      </c>
    </row>
    <row r="97">
      <c r="A97" s="30" t="inlineStr">
        <is>
          <t>Fixed LOE $</t>
        </is>
      </c>
      <c r="C97" s="38" t="n"/>
      <c r="D97" s="38" t="n"/>
      <c r="E97" s="38" t="n"/>
      <c r="F97" s="38" t="n"/>
      <c r="G97" s="38" t="n"/>
      <c r="H97" s="38" t="n"/>
      <c r="I97" s="38" t="n"/>
      <c r="J97" s="38" t="n"/>
      <c r="K97" s="38" t="n"/>
      <c r="L97" s="38" t="n"/>
      <c r="M97" s="38" t="n"/>
      <c r="N97" s="38" t="n"/>
      <c r="O97" s="38" t="n"/>
      <c r="P97" s="38" t="n"/>
      <c r="Q97" s="39">
        <f>SUM(Q34,Q35,Q37,Q40,Q44:Q46,Q48)</f>
        <v/>
      </c>
      <c r="R97" s="39">
        <f>SUM(R34,R35,R37,R40,R44:R46,R48)</f>
        <v/>
      </c>
      <c r="S97" s="39">
        <f>SUM(S34,S35,S37,S40,S44:S46,S48)</f>
        <v/>
      </c>
      <c r="T97" s="39">
        <f>SUM(T34,T35,T37,T40,T44:T46,T48)</f>
        <v/>
      </c>
      <c r="U97" s="39">
        <f>SUM(U34,U35,U37,U40,U44:U46,U48)</f>
        <v/>
      </c>
      <c r="V97" s="39">
        <f>SUM(V34,V35,V37,V40,V44:V46,V48)</f>
        <v/>
      </c>
      <c r="W97" s="39">
        <f>SUM(W34,W35,W37,W40,W44:W46,W48)</f>
        <v/>
      </c>
      <c r="X97" s="39">
        <f>SUM(X34,X35,X37,X40,X44:X46,X48)</f>
        <v/>
      </c>
      <c r="Y97" s="39">
        <f>SUM(Y34,Y35,Y37,Y40,Y44:Y46,Y48)</f>
        <v/>
      </c>
      <c r="Z97" s="39">
        <f>SUM(Z34,Z35,Z37,Z40,Z44:Z46,Z48)</f>
        <v/>
      </c>
      <c r="AA97" s="39">
        <f>SUM(AA34,AA35,AA37,AA40,AA44:AA46,AA48)</f>
        <v/>
      </c>
      <c r="AB97" s="39">
        <f>SUM(AB34,AB35,AB37,AB40,AB44:AB46,AB48)</f>
        <v/>
      </c>
      <c r="AC97" s="38" t="n"/>
      <c r="AD97" s="38" t="n"/>
      <c r="AE97" s="39">
        <f>SUM(AE34,AE35,AE37,AE40,AE44:AE46,AE48)</f>
        <v/>
      </c>
      <c r="AF97" s="39">
        <f>SUM(AF34,AF35,AF37,AF40,AF44:AF46,AF48)</f>
        <v/>
      </c>
      <c r="AG97" s="39">
        <f>SUM(AG34,AG35,AG37,AG40,AG44:AG46,AG48)</f>
        <v/>
      </c>
      <c r="AH97" s="39">
        <f>SUM(AH34,AH35,AH37,AH40,AH44:AH46,AH48)</f>
        <v/>
      </c>
      <c r="AI97" s="39">
        <f>SUM(AI34,AI35,AI37,AI40,AI44:AI46,AI48)</f>
        <v/>
      </c>
      <c r="AJ97" s="39">
        <f>SUM(AJ34,AJ35,AJ37,AJ40,AJ44:AJ46,AJ48)</f>
        <v/>
      </c>
      <c r="AK97" s="39">
        <f>SUM(AK34,AK35,AK37,AK40,AK44:AK46,AK48)</f>
        <v/>
      </c>
      <c r="AL97" s="39">
        <f>SUM(AL34,AL35,AL37,AL40,AL44:AL46,AL48)</f>
        <v/>
      </c>
      <c r="AM97" s="39">
        <f>SUM(AM34,AM35,AM37,AM40,AM44:AM46,AM48)</f>
        <v/>
      </c>
      <c r="AN97" s="39">
        <f>SUM(AN34,AN35,AN37,AN40,AN44:AN46,AN48)</f>
        <v/>
      </c>
      <c r="AO97" s="39">
        <f>SUM(AO34,AO35,AO37,AO40,AO44:AO46,AO48)</f>
        <v/>
      </c>
      <c r="AP97" s="39">
        <f>SUM(AP34,AP35,AP37,AP40,AP44:AP46,AP48)</f>
        <v/>
      </c>
      <c r="AQ97" s="39" t="n"/>
      <c r="AR97" s="39" t="n"/>
      <c r="AS97" s="39">
        <f>SUM(AS34,AS35,AS37,AS40,AS44:AS46,AS48)</f>
        <v/>
      </c>
      <c r="AT97" s="39">
        <f>SUM(AT34,AT35,AT37,AT40,AT44:AT46,AT48)</f>
        <v/>
      </c>
      <c r="AU97" s="39">
        <f>SUM(AU34,AU35,AU37,AU40,AU44:AU46,AU48)</f>
        <v/>
      </c>
      <c r="AV97" s="39">
        <f>SUM(AV34,AV35,AV37,AV40,AV44:AV46,AV48)</f>
        <v/>
      </c>
      <c r="AW97" s="39">
        <f>SUM(AW34,AW35,AW37,AW40,AW44:AW46,AW48)</f>
        <v/>
      </c>
      <c r="AX97" s="39">
        <f>SUM(AX34,AX35,AX37,AX40,AX44:AX46,AX48)</f>
        <v/>
      </c>
      <c r="AY97" s="39">
        <f>SUM(AY34,AY35,AY37,AY40,AY44:AY46,AY48)</f>
        <v/>
      </c>
      <c r="AZ97" s="38" t="n"/>
    </row>
    <row r="98">
      <c r="A98" s="1" t="inlineStr">
        <is>
          <t>Variable Expense $</t>
        </is>
      </c>
      <c r="C98" s="38" t="n"/>
      <c r="D98" s="38" t="n"/>
      <c r="E98" s="38" t="n"/>
      <c r="F98" s="38" t="n"/>
      <c r="G98" s="38" t="n"/>
      <c r="H98" s="38" t="n"/>
      <c r="I98" s="38" t="n"/>
      <c r="J98" s="38" t="n"/>
      <c r="K98" s="38" t="n"/>
      <c r="L98" s="38" t="n"/>
      <c r="M98" s="38" t="n"/>
      <c r="N98" s="38" t="n"/>
      <c r="O98" s="38" t="n"/>
      <c r="P98" s="38" t="n"/>
      <c r="Q98" s="39">
        <f>SUM(Q32:Q33,Q36,Q38:Q39,Q41:Q43,Q47,Q49:Q54,Q56,Q88)</f>
        <v/>
      </c>
      <c r="R98" s="39">
        <f>SUM(R32:R33,R36,R38:R39,R41:R43,R47,R49:R54,R56,R88)</f>
        <v/>
      </c>
      <c r="S98" s="39">
        <f>SUM(S32:S33,S36,S38:S39,S41:S43,S47,S49:S54,S56,S88)</f>
        <v/>
      </c>
      <c r="T98" s="39">
        <f>SUM(T32:T33,T36,T38:T39,T41:T43,T47,T49:T54,T56,T88)</f>
        <v/>
      </c>
      <c r="U98" s="39">
        <f>SUM(U32:U33,U36,U38:U39,U41:U43,U47,U49:U54,U56,U88)</f>
        <v/>
      </c>
      <c r="V98" s="39">
        <f>SUM(V32:V33,V36,V38:V39,V41:V43,V47,V49:V54,V56,V88)</f>
        <v/>
      </c>
      <c r="W98" s="39">
        <f>SUM(W32:W33,W36,W38:W39,W41:W43,W47,W49:W54,W56,W88)</f>
        <v/>
      </c>
      <c r="X98" s="39">
        <f>SUM(X32:X33,X36,X38:X39,X41:X43,X47,X49:X54,X56,X88)</f>
        <v/>
      </c>
      <c r="Y98" s="39">
        <f>SUM(Y32:Y33,Y36,Y38:Y39,Y41:Y43,Y47,Y49:Y54,Y56,Y88)</f>
        <v/>
      </c>
      <c r="Z98" s="39">
        <f>SUM(Z32:Z33,Z36,Z38:Z39,Z41:Z43,Z47,Z49:Z54,Z56,Z88)</f>
        <v/>
      </c>
      <c r="AA98" s="39">
        <f>SUM(AA32:AA33,AA36,AA38:AA39,AA41:AA43,AA47,AA49:AA54,AA56,AA88)</f>
        <v/>
      </c>
      <c r="AB98" s="39">
        <f>SUM(AB32:AB33,AB36,AB38:AB39,AB41:AB43,AB47,AB49:AB54,AB56,AB88)</f>
        <v/>
      </c>
      <c r="AC98" s="47" t="inlineStr">
        <is>
          <t>AVG</t>
        </is>
      </c>
      <c r="AD98" s="38" t="n"/>
      <c r="AE98" s="39">
        <f>SUM(AE32:AE33,AE36,AE38:AE39,AE41:AE43,AE47,AE49:AE54,AE56,AE88)</f>
        <v/>
      </c>
      <c r="AF98" s="39">
        <f>SUM(AF32:AF33,AF36,AF38:AF39,AF41:AF43,AF47,AF49:AF54,AF56,AF88)</f>
        <v/>
      </c>
      <c r="AG98" s="39">
        <f>SUM(AG32:AG33,AG36,AG38:AG39,AG41:AG43,AG47,AG49:AG54,AG56,AG88)</f>
        <v/>
      </c>
      <c r="AH98" s="39">
        <f>SUM(AH32:AH33,AH36,AH38:AH39,AH41:AH43,AH47,AH49:AH54,AH56,AH88)</f>
        <v/>
      </c>
      <c r="AI98" s="39">
        <f>SUM(AI32:AI33,AI36,AI38:AI39,AI41:AI43,AI47,AI49:AI54,AI56,AI88)</f>
        <v/>
      </c>
      <c r="AJ98" s="39">
        <f>SUM(AJ32:AJ33,AJ36,AJ38:AJ39,AJ41:AJ43,AJ47,AJ49:AJ54,AJ56,AJ88)</f>
        <v/>
      </c>
      <c r="AK98" s="39">
        <f>SUM(AK32:AK33,AK36,AK38:AK39,AK41:AK43,AK47,AK49:AK54,AK56,AK88)</f>
        <v/>
      </c>
      <c r="AL98" s="39">
        <f>SUM(AL32:AL33,AL36,AL38:AL39,AL41:AL43,AL47,AL49:AL54,AL56,AL88)</f>
        <v/>
      </c>
      <c r="AM98" s="39">
        <f>SUM(AM32:AM33,AM36,AM38:AM39,AM41:AM43,AM47,AM49:AM54,AM56,AM88)</f>
        <v/>
      </c>
      <c r="AN98" s="39">
        <f>SUM(AN32:AN33,AN36,AN38:AN39,AN41:AN43,AN47,AN49:AN54,AN56,AN88)</f>
        <v/>
      </c>
      <c r="AO98" s="39">
        <f>SUM(AO32:AO33,AO36,AO38:AO39,AO41:AO43,AO47,AO49:AO54,AO56,AO88)</f>
        <v/>
      </c>
      <c r="AP98" s="39">
        <f>SUM(AP32:AP33,AP36,AP38:AP39,AP41:AP43,AP47,AP49:AP54,AP56,AP88)</f>
        <v/>
      </c>
      <c r="AQ98" s="47" t="inlineStr">
        <is>
          <t>AVG</t>
        </is>
      </c>
      <c r="AR98" s="39" t="n"/>
      <c r="AS98" s="39">
        <f>SUM(AS32:AS33,AS36,AS38:AS39,AS41:AS43,AS47,AS49:AS54,AS56,AS88)</f>
        <v/>
      </c>
      <c r="AT98" s="39">
        <f>SUM(AT32:AT33,AT36,AT38:AT39,AT41:AT43,AT47,AT49:AT54,AT56,AT88)</f>
        <v/>
      </c>
      <c r="AU98" s="39">
        <f>SUM(AU32:AU33,AU36,AU38:AU39,AU41:AU43,AU47,AU49:AU54,AU56,AU88)</f>
        <v/>
      </c>
      <c r="AV98" s="39">
        <f>SUM(AV32:AV33,AV36,AV38:AV39,AV41:AV43,AV47,AV49:AV54,AV56,AV88)</f>
        <v/>
      </c>
      <c r="AW98" s="39">
        <f>SUM(AW32:AW33,AW36,AW38:AW39,AW41:AW43,AW47,AW49:AW54,AW56,AW88)</f>
        <v/>
      </c>
      <c r="AX98" s="39">
        <f>SUM(AX32:AX33,AX36,AX38:AX39,AX41:AX43,AX47,AX49:AX54,AX56,AX88)</f>
        <v/>
      </c>
      <c r="AY98" s="39">
        <f>SUM(AY32:AY33,AY36,AY38:AY39,AY41:AY43,AY47,AY49:AY54,AY56,AY88)</f>
        <v/>
      </c>
      <c r="AZ98" s="47" t="inlineStr">
        <is>
          <t>AVG</t>
        </is>
      </c>
    </row>
    <row r="99">
      <c r="A99" s="1" t="inlineStr">
        <is>
          <t>Fixed $/Well</t>
        </is>
      </c>
      <c r="C99" s="38" t="n"/>
      <c r="D99" s="38" t="n"/>
      <c r="E99" s="38" t="n"/>
      <c r="F99" s="38" t="n"/>
      <c r="G99" s="38" t="n"/>
      <c r="H99" s="38" t="n"/>
      <c r="I99" s="38" t="n"/>
      <c r="J99" s="38" t="n"/>
      <c r="K99" s="38" t="n"/>
      <c r="L99" s="38" t="n"/>
      <c r="M99" s="38" t="n"/>
      <c r="N99" s="38" t="n"/>
      <c r="O99" s="38" t="n"/>
      <c r="P99" s="38" t="n"/>
      <c r="Q99" s="39">
        <f>Q97/Q108</f>
        <v/>
      </c>
      <c r="R99" s="39">
        <f>R97/R108</f>
        <v/>
      </c>
      <c r="S99" s="39">
        <f>S97/S108</f>
        <v/>
      </c>
      <c r="T99" s="39">
        <f>T97/T108</f>
        <v/>
      </c>
      <c r="U99" s="39">
        <f>U97/U108</f>
        <v/>
      </c>
      <c r="V99" s="39">
        <f>V97/V108</f>
        <v/>
      </c>
      <c r="W99" s="39">
        <f>W97/W108</f>
        <v/>
      </c>
      <c r="X99" s="39">
        <f>X97/X108</f>
        <v/>
      </c>
      <c r="Y99" s="39">
        <f>Y97/Y108</f>
        <v/>
      </c>
      <c r="Z99" s="39">
        <f>Z97/Z108</f>
        <v/>
      </c>
      <c r="AA99" s="39">
        <f>AA97/AA108</f>
        <v/>
      </c>
      <c r="AB99" s="39">
        <f>AB97/AB108</f>
        <v/>
      </c>
      <c r="AC99" s="47">
        <f>AVERAGE(Q99:AB99)</f>
        <v/>
      </c>
      <c r="AD99" s="38" t="n"/>
      <c r="AE99" s="39">
        <f>AE97/AE108</f>
        <v/>
      </c>
      <c r="AF99" s="39">
        <f>AF97/AF108</f>
        <v/>
      </c>
      <c r="AG99" s="39">
        <f>AG97/AG108</f>
        <v/>
      </c>
      <c r="AH99" s="39">
        <f>AH97/AH108</f>
        <v/>
      </c>
      <c r="AI99" s="39">
        <f>AI97/AI108</f>
        <v/>
      </c>
      <c r="AJ99" s="39">
        <f>AJ97/AJ108</f>
        <v/>
      </c>
      <c r="AK99" s="39">
        <f>AK97/AK108</f>
        <v/>
      </c>
      <c r="AL99" s="39">
        <f>AL97/AL108</f>
        <v/>
      </c>
      <c r="AM99" s="39">
        <f>AM97/AM108</f>
        <v/>
      </c>
      <c r="AN99" s="39">
        <f>AN97/AN108</f>
        <v/>
      </c>
      <c r="AO99" s="39">
        <f>AO97/AO108</f>
        <v/>
      </c>
      <c r="AP99" s="39">
        <f>AP97/AP108</f>
        <v/>
      </c>
      <c r="AQ99" s="47">
        <f>AVERAGE(AE99:AP99)</f>
        <v/>
      </c>
      <c r="AR99" s="39" t="n"/>
      <c r="AS99" s="39">
        <f>AS97/AS108</f>
        <v/>
      </c>
      <c r="AT99" s="39">
        <f>AT97/AT108</f>
        <v/>
      </c>
      <c r="AU99" s="39">
        <f>AU97/AU108</f>
        <v/>
      </c>
      <c r="AV99" s="39">
        <f>AV97/AV108</f>
        <v/>
      </c>
      <c r="AW99" s="39">
        <f>AW97/AW108</f>
        <v/>
      </c>
      <c r="AX99" s="39">
        <f>AX97/AX108</f>
        <v/>
      </c>
      <c r="AY99" s="39">
        <f>AY97/AY108</f>
        <v/>
      </c>
      <c r="AZ99" s="47">
        <f>AVERAGE(AS99:AY99)</f>
        <v/>
      </c>
    </row>
    <row r="100">
      <c r="A100" s="1" t="inlineStr">
        <is>
          <t>Variable $/BO</t>
        </is>
      </c>
      <c r="C100" s="51" t="n"/>
      <c r="D100" s="51" t="n"/>
      <c r="E100" s="51" t="n"/>
      <c r="F100" s="51" t="n"/>
      <c r="G100" s="51" t="n"/>
      <c r="H100" s="51" t="n"/>
      <c r="I100" s="51" t="n"/>
      <c r="J100" s="51" t="n"/>
      <c r="K100" s="51" t="n"/>
      <c r="L100" s="51" t="n"/>
      <c r="M100" s="51" t="n"/>
      <c r="N100" s="51" t="n"/>
      <c r="O100" s="51" t="n"/>
      <c r="P100" s="51" t="n"/>
      <c r="Q100" s="52">
        <f>Q98/Q105</f>
        <v/>
      </c>
      <c r="R100" s="52">
        <f>R98/R105</f>
        <v/>
      </c>
      <c r="S100" s="52">
        <f>S98/S105</f>
        <v/>
      </c>
      <c r="T100" s="52">
        <f>T98/T105</f>
        <v/>
      </c>
      <c r="U100" s="52">
        <f>U98/U105</f>
        <v/>
      </c>
      <c r="V100" s="52">
        <f>V98/V105</f>
        <v/>
      </c>
      <c r="W100" s="52">
        <f>W98/W105</f>
        <v/>
      </c>
      <c r="X100" s="52">
        <f>X98/X105</f>
        <v/>
      </c>
      <c r="Y100" s="52">
        <f>Y98/Y105</f>
        <v/>
      </c>
      <c r="Z100" s="52">
        <f>Z98/Z105</f>
        <v/>
      </c>
      <c r="AA100" s="52">
        <f>AA98/AA105</f>
        <v/>
      </c>
      <c r="AB100" s="52">
        <f>AB98/AB105</f>
        <v/>
      </c>
      <c r="AC100" s="56">
        <f>AVERAGE(Q100:AB100)</f>
        <v/>
      </c>
      <c r="AD100" s="51" t="n"/>
      <c r="AE100" s="52">
        <f>AE98/AE105</f>
        <v/>
      </c>
      <c r="AF100" s="52">
        <f>AF98/AF105</f>
        <v/>
      </c>
      <c r="AG100" s="52">
        <f>AG98/AG105</f>
        <v/>
      </c>
      <c r="AH100" s="52">
        <f>AH98/AH105</f>
        <v/>
      </c>
      <c r="AI100" s="52">
        <f>AI98/AI105</f>
        <v/>
      </c>
      <c r="AJ100" s="52">
        <f>AJ98/AJ105</f>
        <v/>
      </c>
      <c r="AK100" s="52">
        <f>AK98/AK105</f>
        <v/>
      </c>
      <c r="AL100" s="52">
        <f>AL98/AL105</f>
        <v/>
      </c>
      <c r="AM100" s="52">
        <f>AM98/AM105</f>
        <v/>
      </c>
      <c r="AN100" s="52">
        <f>AN98/AN105</f>
        <v/>
      </c>
      <c r="AO100" s="52">
        <f>AO98/AO105</f>
        <v/>
      </c>
      <c r="AP100" s="52">
        <f>AP98/AP105</f>
        <v/>
      </c>
      <c r="AQ100" s="56">
        <f>AVERAGE(AE100:AP100)</f>
        <v/>
      </c>
      <c r="AR100" s="52" t="n"/>
      <c r="AS100" s="52">
        <f>AS98/AS105</f>
        <v/>
      </c>
      <c r="AT100" s="52">
        <f>AT98/AT105</f>
        <v/>
      </c>
      <c r="AU100" s="52">
        <f>AU98/AU105</f>
        <v/>
      </c>
      <c r="AV100" s="52">
        <f>AV98/AV105</f>
        <v/>
      </c>
      <c r="AW100" s="52">
        <f>AW98/AW105</f>
        <v/>
      </c>
      <c r="AX100" s="52">
        <f>AX98/AX105</f>
        <v/>
      </c>
      <c r="AY100" s="52">
        <f>AY98/AY105</f>
        <v/>
      </c>
      <c r="AZ100" s="56">
        <f>AVERAGE(AS100:AY100)</f>
        <v/>
      </c>
    </row>
    <row r="101">
      <c r="A101" s="1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</row>
    <row r="102">
      <c r="A102" s="1" t="inlineStr">
        <is>
          <t>LOE + WORKOVER EXCL WTR DISP</t>
        </is>
      </c>
      <c r="C102" s="38" t="n"/>
      <c r="D102" s="38" t="n"/>
      <c r="E102" s="38" t="n"/>
      <c r="F102" s="38" t="n"/>
      <c r="G102" s="38" t="n"/>
      <c r="H102" s="38" t="n"/>
      <c r="I102" s="38" t="n"/>
      <c r="J102" s="38" t="n"/>
      <c r="K102" s="38" t="n"/>
      <c r="L102" s="38" t="n"/>
      <c r="M102" s="38" t="n"/>
      <c r="N102" s="38" t="n"/>
      <c r="O102" s="38" t="n"/>
      <c r="P102" s="38" t="n"/>
      <c r="Q102" s="39">
        <f>SUM(Q88,Q32:Q54,Q56)</f>
        <v/>
      </c>
      <c r="R102" s="39">
        <f>SUM(R88,R32:R54,R56)</f>
        <v/>
      </c>
      <c r="S102" s="39">
        <f>SUM(S88,S32:S54,S56)</f>
        <v/>
      </c>
      <c r="T102" s="39">
        <f>SUM(T88,T32:T54,T56)</f>
        <v/>
      </c>
      <c r="U102" s="39">
        <f>SUM(U88,U32:U54,U56)</f>
        <v/>
      </c>
      <c r="V102" s="39">
        <f>SUM(V88,V32:V54,V56)</f>
        <v/>
      </c>
      <c r="W102" s="39">
        <f>SUM(W88,W32:W54,W56)</f>
        <v/>
      </c>
      <c r="X102" s="39">
        <f>SUM(X88,X32:X54,X56)</f>
        <v/>
      </c>
      <c r="Y102" s="39">
        <f>SUM(Y88,Y32:Y54,Y56)</f>
        <v/>
      </c>
      <c r="Z102" s="39">
        <f>SUM(Z88,Z32:Z54,Z56)</f>
        <v/>
      </c>
      <c r="AA102" s="39">
        <f>SUM(AA88,AA32:AA54,AA56)</f>
        <v/>
      </c>
      <c r="AB102" s="39">
        <f>SUM(AB88,AB32:AB54,AB56)</f>
        <v/>
      </c>
      <c r="AC102" s="38" t="n"/>
      <c r="AD102" s="38" t="n"/>
      <c r="AE102" s="39">
        <f>SUM(AE88,AE32:AE54,AE56)</f>
        <v/>
      </c>
      <c r="AF102" s="39">
        <f>SUM(AF88,AF32:AF54,AF56)</f>
        <v/>
      </c>
      <c r="AG102" s="39">
        <f>SUM(AG88,AG32:AG54,AG56)</f>
        <v/>
      </c>
      <c r="AH102" s="39">
        <f>SUM(AH88,AH32:AH54,AH56)</f>
        <v/>
      </c>
      <c r="AI102" s="39">
        <f>SUM(AI88,AI32:AI54,AI56)</f>
        <v/>
      </c>
      <c r="AJ102" s="39">
        <f>SUM(AJ88,AJ32:AJ54,AJ56)</f>
        <v/>
      </c>
      <c r="AK102" s="39">
        <f>SUM(AK88,AK32:AK54,AK56)</f>
        <v/>
      </c>
      <c r="AL102" s="39">
        <f>SUM(AL88,AL32:AL54,AL56)</f>
        <v/>
      </c>
      <c r="AM102" s="39">
        <f>SUM(AM88,AM32:AM54,AM56)</f>
        <v/>
      </c>
      <c r="AN102" s="39">
        <f>SUM(AN88,AN32:AN54,AN56)</f>
        <v/>
      </c>
      <c r="AO102" s="39">
        <f>SUM(AO88,AO32:AO54,AO56)</f>
        <v/>
      </c>
      <c r="AP102" s="39">
        <f>SUM(AP88,AP32:AP54,AP56)</f>
        <v/>
      </c>
      <c r="AQ102" s="39" t="n"/>
      <c r="AR102" s="39" t="n"/>
      <c r="AS102" s="39">
        <f>SUM(AS88,AS32:AS54,AS56)</f>
        <v/>
      </c>
      <c r="AT102" s="39">
        <f>SUM(AT88,AT32:AT54,AT56)</f>
        <v/>
      </c>
      <c r="AU102" s="39">
        <f>SUM(AU88,AU32:AU54,AU56)</f>
        <v/>
      </c>
      <c r="AV102" s="39">
        <f>SUM(AV88,AV32:AV54,AV56)</f>
        <v/>
      </c>
      <c r="AW102" s="39">
        <f>SUM(AW88,AW32:AW54,AW56)</f>
        <v/>
      </c>
      <c r="AX102" s="39">
        <f>SUM(AX88,AX32:AX54,AX56)</f>
        <v/>
      </c>
      <c r="AY102" s="39">
        <f>SUM(AY88,AY32:AY54,AY56)</f>
        <v/>
      </c>
      <c r="AZ102" s="38" t="n"/>
    </row>
    <row r="103">
      <c r="A103" s="31" t="inlineStr">
        <is>
          <t>CHECK</t>
        </is>
      </c>
      <c r="C103" s="38" t="n"/>
      <c r="D103" s="38" t="n"/>
      <c r="E103" s="38" t="n"/>
      <c r="F103" s="38" t="n"/>
      <c r="G103" s="38" t="n"/>
      <c r="H103" s="38" t="n"/>
      <c r="I103" s="38" t="n"/>
      <c r="J103" s="38" t="n"/>
      <c r="K103" s="38" t="n"/>
      <c r="L103" s="38" t="n"/>
      <c r="M103" s="38" t="n"/>
      <c r="N103" s="38" t="n"/>
      <c r="O103" s="38" t="n"/>
      <c r="P103" s="38" t="n"/>
      <c r="Q103" s="39">
        <f>(Q99*Q108+Q100*Q105)-Q102</f>
        <v/>
      </c>
      <c r="R103" s="39">
        <f>(R99*R108+R100*R105)-R102</f>
        <v/>
      </c>
      <c r="S103" s="39">
        <f>(S99*S108+S100*S105)-S102</f>
        <v/>
      </c>
      <c r="T103" s="39">
        <f>(T99*T108+T100*T105)-T102</f>
        <v/>
      </c>
      <c r="U103" s="39">
        <f>(U99*U108+U100*U105)-U102</f>
        <v/>
      </c>
      <c r="V103" s="39">
        <f>(V99*V108+V100*V105)-V102</f>
        <v/>
      </c>
      <c r="W103" s="39">
        <f>(W99*W108+W100*W105)-W102</f>
        <v/>
      </c>
      <c r="X103" s="39">
        <f>(X99*X108+X100*X105)-X102</f>
        <v/>
      </c>
      <c r="Y103" s="39">
        <f>(Y99*Y108+Y100*Y105)-Y102</f>
        <v/>
      </c>
      <c r="Z103" s="39">
        <f>(Z99*Z108+Z100*Z105)-Z102</f>
        <v/>
      </c>
      <c r="AA103" s="39">
        <f>(AA99*AA108+AA100*AA105)-AA102</f>
        <v/>
      </c>
      <c r="AB103" s="39">
        <f>(AB99*AB108+AB100*AB105)-AB102</f>
        <v/>
      </c>
      <c r="AC103" s="38" t="n"/>
      <c r="AD103" s="38" t="n"/>
      <c r="AE103" s="39">
        <f>(AE99*AE108+AE100*AE105)-AE102</f>
        <v/>
      </c>
      <c r="AF103" s="39">
        <f>(AF99*AF108+AF100*AF105)-AF102</f>
        <v/>
      </c>
      <c r="AG103" s="39">
        <f>(AG99*AG108+AG100*AG105)-AG102</f>
        <v/>
      </c>
      <c r="AH103" s="39">
        <f>(AH99*AH108+AH100*AH105)-AH102</f>
        <v/>
      </c>
      <c r="AI103" s="39">
        <f>(AI99*AI108+AI100*AI105)-AI102</f>
        <v/>
      </c>
      <c r="AJ103" s="39">
        <f>(AJ99*AJ108+AJ100*AJ105)-AJ102</f>
        <v/>
      </c>
      <c r="AK103" s="39">
        <f>(AK99*AK108+AK100*AK105)-AK102</f>
        <v/>
      </c>
      <c r="AL103" s="39">
        <f>(AL99*AL108+AL100*AL105)-AL102</f>
        <v/>
      </c>
      <c r="AM103" s="39">
        <f>(AM99*AM108+AM100*AM105)-AM102</f>
        <v/>
      </c>
      <c r="AN103" s="39">
        <f>(AN99*AN108+AN100*AN105)-AN102</f>
        <v/>
      </c>
      <c r="AO103" s="39">
        <f>(AO99*AO108+AO100*AO105)-AO102</f>
        <v/>
      </c>
      <c r="AP103" s="39">
        <f>(AP99*AP108+AP100*AP105)-AP102</f>
        <v/>
      </c>
      <c r="AQ103" s="39" t="n"/>
      <c r="AR103" s="39" t="n"/>
      <c r="AS103" s="39">
        <f>(AS99*AS108+AS100*AS105)-AS102</f>
        <v/>
      </c>
      <c r="AT103" s="39">
        <f>(AT99*AT108+AT100*AT105)-AT102</f>
        <v/>
      </c>
      <c r="AU103" s="39">
        <f>(AU99*AU108+AU100*AU105)-AU102</f>
        <v/>
      </c>
      <c r="AV103" s="39">
        <f>(AV99*AV108+AV100*AV105)-AV102</f>
        <v/>
      </c>
      <c r="AW103" s="39">
        <f>(AW99*AW108+AW100*AW105)-AW102</f>
        <v/>
      </c>
      <c r="AX103" s="39">
        <f>(AX99*AX108+AX100*AX105)-AX102</f>
        <v/>
      </c>
      <c r="AY103" s="39">
        <f>(AY99*AY108+AY100*AY105)-AY102</f>
        <v/>
      </c>
      <c r="AZ103" s="38" t="n"/>
    </row>
    <row r="104">
      <c r="A104" s="2" t="inlineStr">
        <is>
          <t>CC Volumes</t>
        </is>
      </c>
      <c r="Q104" s="57" t="n"/>
    </row>
    <row r="105">
      <c r="A105" s="1" t="inlineStr">
        <is>
          <t>Oil</t>
        </is>
      </c>
      <c r="C105" s="43" t="n"/>
      <c r="D105" s="43" t="n"/>
      <c r="E105" s="43" t="n"/>
      <c r="F105" s="43" t="n"/>
      <c r="G105" s="43" t="n"/>
      <c r="H105" s="44" t="n">
        <v>90276.19998400001</v>
      </c>
      <c r="I105" s="44" t="n">
        <v>88430.80989499998</v>
      </c>
      <c r="J105" s="44" t="n">
        <v>63232.21000400001</v>
      </c>
      <c r="K105" s="44" t="n">
        <v>114476.430138</v>
      </c>
      <c r="L105" s="44" t="n">
        <v>323561.2298460001</v>
      </c>
      <c r="M105" s="44" t="n">
        <v>298197.360013</v>
      </c>
      <c r="N105" s="44" t="n">
        <v>356806.2800049999</v>
      </c>
      <c r="O105" s="44" t="n"/>
      <c r="P105" s="44" t="n"/>
      <c r="Q105" s="44" t="n">
        <v>578455.3180499985</v>
      </c>
      <c r="R105" s="44" t="n">
        <v>580550.5500059995</v>
      </c>
      <c r="S105" s="44" t="n">
        <v>627365.9738530006</v>
      </c>
      <c r="T105" s="44" t="n">
        <v>860116.0604580017</v>
      </c>
      <c r="U105" s="44" t="n">
        <v>980537.3397619996</v>
      </c>
      <c r="V105" s="44" t="n">
        <v>1163351.411611</v>
      </c>
      <c r="W105" s="44" t="n">
        <v>1358317.080867</v>
      </c>
      <c r="X105" s="44" t="n">
        <v>1600948.446644001</v>
      </c>
      <c r="Y105" s="44" t="n">
        <v>1946386.200000003</v>
      </c>
      <c r="Z105" s="44" t="n">
        <v>1907575.357766001</v>
      </c>
      <c r="AA105" s="44" t="n">
        <v>1512944.349986997</v>
      </c>
      <c r="AB105" s="44" t="n">
        <v>1332053.930002003</v>
      </c>
      <c r="AC105" s="44" t="n"/>
      <c r="AD105" s="44" t="n"/>
      <c r="AE105" s="44" t="n">
        <v>1151607.784248003</v>
      </c>
      <c r="AF105" s="44" t="n">
        <v>925552.0795680003</v>
      </c>
      <c r="AG105" s="44" t="n">
        <v>911406.7469</v>
      </c>
      <c r="AH105" s="44" t="n">
        <v>779265.4700609985</v>
      </c>
      <c r="AI105" s="44" t="n">
        <v>998197.749182999</v>
      </c>
      <c r="AJ105" s="44" t="n">
        <v>933294.42</v>
      </c>
      <c r="AK105" s="44" t="n">
        <v>994711.59</v>
      </c>
      <c r="AL105" s="44" t="n">
        <v>909244.1058729991</v>
      </c>
      <c r="AM105" s="44" t="n">
        <v>1081953.086</v>
      </c>
      <c r="AN105" s="44" t="n">
        <v>1488325.78</v>
      </c>
      <c r="AO105" s="44" t="n">
        <v>1165289.44</v>
      </c>
      <c r="AP105" s="44" t="n">
        <v>1015720.15</v>
      </c>
      <c r="AQ105" s="44" t="n"/>
      <c r="AR105" s="44" t="n"/>
      <c r="AS105" s="44" t="n">
        <v>1105082.65</v>
      </c>
      <c r="AT105" s="44" t="n">
        <v>1250803.3</v>
      </c>
      <c r="AU105" s="44" t="n">
        <v>1650472.47</v>
      </c>
      <c r="AV105" s="44" t="n">
        <v>1662669.02</v>
      </c>
      <c r="AW105" s="44" t="n">
        <v>1724130.81</v>
      </c>
      <c r="AX105" s="44" t="n">
        <v>1615266.41</v>
      </c>
      <c r="AY105" s="44" t="n">
        <v>1764124.530000002</v>
      </c>
      <c r="AZ105" s="43" t="n"/>
    </row>
    <row r="106">
      <c r="A106" s="1" t="inlineStr">
        <is>
          <t>Gas</t>
        </is>
      </c>
      <c r="C106" s="43" t="n"/>
      <c r="D106" s="43" t="n"/>
      <c r="E106" s="43" t="n"/>
      <c r="F106" s="43" t="n"/>
      <c r="G106" s="43" t="n"/>
      <c r="H106" s="44" t="n">
        <v>121772.000002</v>
      </c>
      <c r="I106" s="44" t="n">
        <v>219727.040484</v>
      </c>
      <c r="J106" s="44" t="n">
        <v>219062.000031</v>
      </c>
      <c r="K106" s="44" t="n">
        <v>276087.0000020001</v>
      </c>
      <c r="L106" s="44" t="n">
        <v>514725.4191719999</v>
      </c>
      <c r="M106" s="44" t="n">
        <v>429699.074316</v>
      </c>
      <c r="N106" s="44" t="n">
        <v>563953.7159909997</v>
      </c>
      <c r="O106" s="44" t="n"/>
      <c r="P106" s="44" t="n"/>
      <c r="Q106" s="44" t="n">
        <v>858874.6091279996</v>
      </c>
      <c r="R106" s="44" t="n">
        <v>1059664.038052001</v>
      </c>
      <c r="S106" s="44" t="n">
        <v>1521062.357626002</v>
      </c>
      <c r="T106" s="44" t="n">
        <v>1904858.135787002</v>
      </c>
      <c r="U106" s="44" t="n">
        <v>2072617.165237996</v>
      </c>
      <c r="V106" s="44" t="n">
        <v>2218565.172112004</v>
      </c>
      <c r="W106" s="44" t="n">
        <v>3086611.840438004</v>
      </c>
      <c r="X106" s="44" t="n">
        <v>3804183.909999989</v>
      </c>
      <c r="Y106" s="44" t="n">
        <v>4758429.070000006</v>
      </c>
      <c r="Z106" s="44" t="n">
        <v>6074462.576922006</v>
      </c>
      <c r="AA106" s="44" t="n">
        <v>6126065.370961976</v>
      </c>
      <c r="AB106" s="44" t="n">
        <v>6201012.744867003</v>
      </c>
      <c r="AC106" s="44" t="n"/>
      <c r="AD106" s="44" t="n"/>
      <c r="AE106" s="44" t="n">
        <v>6091665.755363974</v>
      </c>
      <c r="AF106" s="44" t="n">
        <v>5422819.211739987</v>
      </c>
      <c r="AG106" s="44" t="n">
        <v>5829493.048451999</v>
      </c>
      <c r="AH106" s="44" t="n">
        <v>5252969.021105014</v>
      </c>
      <c r="AI106" s="44" t="n">
        <v>5642536.550637003</v>
      </c>
      <c r="AJ106" s="44" t="n">
        <v>5315252.227449999</v>
      </c>
      <c r="AK106" s="44" t="n">
        <v>5587800.34</v>
      </c>
      <c r="AL106" s="44" t="n">
        <v>5574502.816961007</v>
      </c>
      <c r="AM106" s="44" t="n">
        <v>5475914.25</v>
      </c>
      <c r="AN106" s="44" t="n">
        <v>6744265.890000001</v>
      </c>
      <c r="AO106" s="44" t="n">
        <v>7016583.33</v>
      </c>
      <c r="AP106" s="44" t="n">
        <v>7268874.08</v>
      </c>
      <c r="AQ106" s="44" t="n"/>
      <c r="AR106" s="44" t="n"/>
      <c r="AS106" s="44" t="n">
        <v>7291604.4</v>
      </c>
      <c r="AT106" s="44" t="n">
        <v>6901220.210000006</v>
      </c>
      <c r="AU106" s="44" t="n">
        <v>8379835.370000003</v>
      </c>
      <c r="AV106" s="44" t="n">
        <v>9192331.16</v>
      </c>
      <c r="AW106" s="44" t="n">
        <v>9935116.529999999</v>
      </c>
      <c r="AX106" s="44" t="n">
        <v>9797001.970000001</v>
      </c>
      <c r="AY106" s="44" t="n">
        <v>10889173.40999997</v>
      </c>
      <c r="AZ106" s="43" t="n"/>
    </row>
    <row r="107">
      <c r="A107" s="1" t="inlineStr">
        <is>
          <t>Water</t>
        </is>
      </c>
      <c r="C107" s="43" t="n"/>
      <c r="D107" s="43" t="n"/>
      <c r="E107" s="43" t="n"/>
      <c r="F107" s="43" t="n"/>
      <c r="G107" s="43" t="n"/>
      <c r="H107" s="44" t="n">
        <v>144978.660115</v>
      </c>
      <c r="I107" s="44" t="n">
        <v>125335.336182</v>
      </c>
      <c r="J107" s="44" t="n">
        <v>84609.20000000001</v>
      </c>
      <c r="K107" s="44" t="n">
        <v>363996.1049269999</v>
      </c>
      <c r="L107" s="44" t="n">
        <v>914694.4712659999</v>
      </c>
      <c r="M107" s="44" t="n">
        <v>619152.4200079999</v>
      </c>
      <c r="N107" s="44" t="n">
        <v>680398.5700029997</v>
      </c>
      <c r="O107" s="44" t="n"/>
      <c r="P107" s="44" t="n"/>
      <c r="Q107" s="44" t="n">
        <v>1194999.276475999</v>
      </c>
      <c r="R107" s="44" t="n">
        <v>1161422.470007999</v>
      </c>
      <c r="S107" s="44" t="n">
        <v>1416691.502582</v>
      </c>
      <c r="T107" s="44" t="n">
        <v>2282785.130002</v>
      </c>
      <c r="U107" s="44" t="n">
        <v>2233685.049325004</v>
      </c>
      <c r="V107" s="44" t="n">
        <v>2629998.950020007</v>
      </c>
      <c r="W107" s="44" t="n">
        <v>2942292.096347996</v>
      </c>
      <c r="X107" s="44" t="n">
        <v>3588553.789999991</v>
      </c>
      <c r="Y107" s="44" t="n">
        <v>4175494.309999998</v>
      </c>
      <c r="Z107" s="44" t="n">
        <v>3979674.503444005</v>
      </c>
      <c r="AA107" s="44" t="n">
        <v>2944411.829977009</v>
      </c>
      <c r="AB107" s="44" t="n">
        <v>2530926.559996002</v>
      </c>
      <c r="AC107" s="44" t="n"/>
      <c r="AD107" s="44" t="n"/>
      <c r="AE107" s="44" t="n">
        <v>2244335.663962006</v>
      </c>
      <c r="AF107" s="44" t="n">
        <v>1826449.719202</v>
      </c>
      <c r="AG107" s="44" t="n">
        <v>1865292.744318</v>
      </c>
      <c r="AH107" s="44" t="n">
        <v>1699328.787589003</v>
      </c>
      <c r="AI107" s="44" t="n">
        <v>2812345.309986997</v>
      </c>
      <c r="AJ107" s="44" t="n">
        <v>2142143.992624001</v>
      </c>
      <c r="AK107" s="44" t="n">
        <v>2244485.73</v>
      </c>
      <c r="AL107" s="44" t="n">
        <v>2627767.164652994</v>
      </c>
      <c r="AM107" s="44" t="n">
        <v>3153698.961</v>
      </c>
      <c r="AN107" s="44" t="n">
        <v>3551523.36</v>
      </c>
      <c r="AO107" s="44" t="n">
        <v>2629513.58</v>
      </c>
      <c r="AP107" s="44" t="n">
        <v>2329242.11</v>
      </c>
      <c r="AQ107" s="44" t="n"/>
      <c r="AR107" s="44" t="n"/>
      <c r="AS107" s="44" t="n">
        <v>3031626.97</v>
      </c>
      <c r="AT107" s="44" t="n">
        <v>3450311.309999999</v>
      </c>
      <c r="AU107" s="44" t="n">
        <v>4170089.71</v>
      </c>
      <c r="AV107" s="44" t="n">
        <v>3994713.29</v>
      </c>
      <c r="AW107" s="44" t="n">
        <v>4145062.03</v>
      </c>
      <c r="AX107" s="44" t="n">
        <v>3647268.049999998</v>
      </c>
      <c r="AY107" s="44" t="n">
        <v>4040355.340000007</v>
      </c>
      <c r="AZ107" s="43" t="n"/>
    </row>
    <row r="108">
      <c r="A108" s="1" t="inlineStr">
        <is>
          <t>Producing Well Count (Average)</t>
        </is>
      </c>
      <c r="C108" s="43" t="n"/>
      <c r="D108" s="43" t="n"/>
      <c r="E108" s="43" t="n"/>
      <c r="F108" s="43" t="n"/>
      <c r="G108" s="43" t="n"/>
      <c r="H108" s="44" t="n">
        <v>4.555555555555555</v>
      </c>
      <c r="I108" s="44" t="n">
        <v>5</v>
      </c>
      <c r="J108" s="44" t="n">
        <v>5</v>
      </c>
      <c r="K108" s="44" t="n">
        <v>7.933333333333334</v>
      </c>
      <c r="L108" s="44" t="n">
        <v>16.90322580645161</v>
      </c>
      <c r="M108" s="44" t="n">
        <v>17</v>
      </c>
      <c r="N108" s="44" t="n">
        <v>19.38709677419355</v>
      </c>
      <c r="O108" s="44" t="n"/>
      <c r="P108" s="44" t="n"/>
      <c r="Q108" s="44" t="n">
        <v>29.51612903225806</v>
      </c>
      <c r="R108" s="44" t="n">
        <v>35</v>
      </c>
      <c r="S108" s="44" t="n">
        <v>38.61290322580645</v>
      </c>
      <c r="T108" s="44" t="n">
        <v>52.76666666666667</v>
      </c>
      <c r="U108" s="44" t="n">
        <v>60.09677419354838</v>
      </c>
      <c r="V108" s="44" t="n">
        <v>75.03333333333333</v>
      </c>
      <c r="W108" s="44" t="n">
        <v>85.80645161290323</v>
      </c>
      <c r="X108" s="44" t="n">
        <v>99.93548387096774</v>
      </c>
      <c r="Y108" s="44" t="n">
        <v>119.5</v>
      </c>
      <c r="Z108" s="44" t="n">
        <v>129</v>
      </c>
      <c r="AA108" s="44" t="n">
        <v>129</v>
      </c>
      <c r="AB108" s="44" t="n">
        <v>129</v>
      </c>
      <c r="AC108" s="44" t="n"/>
      <c r="AD108" s="44" t="n"/>
      <c r="AE108" s="44" t="n">
        <v>129</v>
      </c>
      <c r="AF108" s="44" t="n">
        <v>129</v>
      </c>
      <c r="AG108" s="44" t="n">
        <v>129</v>
      </c>
      <c r="AH108" s="44" t="n">
        <v>129.4333333</v>
      </c>
      <c r="AI108" s="44" t="n">
        <v>141</v>
      </c>
      <c r="AJ108" s="44" t="n">
        <v>144</v>
      </c>
      <c r="AK108" s="44" t="n">
        <v>149</v>
      </c>
      <c r="AL108" s="44" t="n">
        <v>155.4193548</v>
      </c>
      <c r="AM108" s="44" t="n">
        <v>166.1</v>
      </c>
      <c r="AN108" s="44" t="n">
        <v>178</v>
      </c>
      <c r="AO108" s="44" t="n">
        <v>178</v>
      </c>
      <c r="AP108" s="44" t="n">
        <v>178</v>
      </c>
      <c r="AQ108" s="43" t="n"/>
      <c r="AR108" s="43" t="n"/>
      <c r="AS108" s="44" t="n">
        <v>189.1935484</v>
      </c>
      <c r="AT108" s="44" t="n">
        <v>203</v>
      </c>
      <c r="AU108" s="44" t="n">
        <v>217.9032258</v>
      </c>
      <c r="AV108" s="44" t="n">
        <v>227</v>
      </c>
      <c r="AW108" s="44" t="n">
        <v>236.8709677</v>
      </c>
      <c r="AX108" s="44" t="n">
        <v>244.5333333</v>
      </c>
      <c r="AY108" s="44" t="n">
        <v>252</v>
      </c>
      <c r="AZ108" s="43" t="n"/>
    </row>
    <row r="109">
      <c r="A109" s="1" t="inlineStr">
        <is>
          <t>Producing Well Count (Max)</t>
        </is>
      </c>
      <c r="C109" s="43" t="n"/>
      <c r="D109" s="43" t="n"/>
      <c r="E109" s="43" t="n"/>
      <c r="F109" s="43" t="n"/>
      <c r="G109" s="43" t="n"/>
      <c r="H109" s="44" t="n">
        <v>5</v>
      </c>
      <c r="I109" s="44" t="n">
        <v>5</v>
      </c>
      <c r="J109" s="44" t="n">
        <v>5</v>
      </c>
      <c r="K109" s="44" t="n">
        <v>16</v>
      </c>
      <c r="L109" s="44" t="n">
        <v>17</v>
      </c>
      <c r="M109" s="44" t="n">
        <v>17</v>
      </c>
      <c r="N109" s="44" t="n">
        <v>23</v>
      </c>
      <c r="O109" s="44" t="n"/>
      <c r="P109" s="44" t="n"/>
      <c r="Q109" s="44" t="n">
        <v>35</v>
      </c>
      <c r="R109" s="44" t="n">
        <v>35</v>
      </c>
      <c r="S109" s="44" t="n">
        <v>46</v>
      </c>
      <c r="T109" s="44" t="n">
        <v>58</v>
      </c>
      <c r="U109" s="44" t="n">
        <v>70</v>
      </c>
      <c r="V109" s="44" t="n">
        <v>82</v>
      </c>
      <c r="W109" s="44" t="n">
        <v>94</v>
      </c>
      <c r="X109" s="44" t="n">
        <v>112</v>
      </c>
      <c r="Y109" s="44" t="n">
        <v>129</v>
      </c>
      <c r="Z109" s="44" t="n">
        <v>129</v>
      </c>
      <c r="AA109" s="44" t="n">
        <v>129</v>
      </c>
      <c r="AB109" s="44" t="n">
        <v>129</v>
      </c>
      <c r="AC109" s="44" t="n"/>
      <c r="AD109" s="44" t="n"/>
      <c r="AE109" s="44" t="n">
        <v>129</v>
      </c>
      <c r="AF109" s="44" t="n">
        <v>129</v>
      </c>
      <c r="AG109" s="44" t="n">
        <v>129</v>
      </c>
      <c r="AH109" s="44" t="n">
        <v>133</v>
      </c>
      <c r="AI109" s="44" t="n">
        <v>144</v>
      </c>
      <c r="AJ109" s="44" t="n">
        <v>145</v>
      </c>
      <c r="AK109" s="44" t="n">
        <v>150</v>
      </c>
      <c r="AL109" s="44" t="n">
        <v>157</v>
      </c>
      <c r="AM109" s="44" t="n">
        <v>178</v>
      </c>
      <c r="AN109" s="44" t="n">
        <v>178</v>
      </c>
      <c r="AO109" s="44" t="n">
        <v>178</v>
      </c>
      <c r="AP109" s="44" t="n">
        <v>178</v>
      </c>
      <c r="AQ109" s="43" t="n"/>
      <c r="AR109" s="43" t="n"/>
      <c r="AS109" s="44" t="n">
        <v>192</v>
      </c>
      <c r="AT109" s="44" t="n">
        <v>209</v>
      </c>
      <c r="AU109" s="44" t="n">
        <v>227</v>
      </c>
      <c r="AV109" s="44" t="n">
        <v>227</v>
      </c>
      <c r="AW109" s="44" t="n">
        <v>239</v>
      </c>
      <c r="AX109" s="44" t="n">
        <v>249</v>
      </c>
      <c r="AY109" s="44" t="n">
        <v>252</v>
      </c>
      <c r="AZ109" s="43" t="n"/>
    </row>
    <row r="110"/>
    <row r="111">
      <c r="A111" s="2" t="inlineStr">
        <is>
          <t>OP HZ OPEX MODELS</t>
        </is>
      </c>
    </row>
  </sheetData>
  <pageMargins left="0.7" right="0.7" top="0.75" bottom="0.75" header="0.3" footer="0.3"/>
  <pageSetup orientation="portrait" scale="11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view="pageBreakPreview" zoomScale="85" zoomScaleNormal="85" zoomScaleSheetLayoutView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1" sqref="A1"/>
    </sheetView>
  </sheetViews>
  <sheetFormatPr baseColWidth="8" defaultRowHeight="15"/>
  <cols>
    <col width="43.28515625" bestFit="1" customWidth="1" min="1" max="1"/>
    <col width="5.85546875" bestFit="1" customWidth="1" min="2" max="2"/>
    <col width="12.42578125" bestFit="1" customWidth="1" min="3" max="3"/>
    <col width="13.7109375" bestFit="1" customWidth="1" min="4" max="4"/>
    <col width="12.7109375" bestFit="1" customWidth="1" min="5" max="5"/>
    <col width="12.140625" customWidth="1" min="6" max="7"/>
    <col width="14" bestFit="1" customWidth="1" min="8" max="8"/>
    <col width="12" bestFit="1" customWidth="1" min="9" max="9"/>
  </cols>
  <sheetData>
    <row r="1">
      <c r="A1" s="28" t="inlineStr">
        <is>
          <t>LSB V OP HZ</t>
        </is>
      </c>
    </row>
    <row r="2" customFormat="1" s="8">
      <c r="A2" s="9" t="inlineStr">
        <is>
          <t>Production:</t>
        </is>
      </c>
      <c r="C2" s="8" t="inlineStr">
        <is>
          <t>January 2026</t>
        </is>
      </c>
      <c r="D2" s="8" t="inlineStr">
        <is>
          <t>February 2026</t>
        </is>
      </c>
      <c r="E2" s="8" t="inlineStr">
        <is>
          <t>March 2026</t>
        </is>
      </c>
      <c r="F2" s="8" t="inlineStr">
        <is>
          <t>April 2026</t>
        </is>
      </c>
      <c r="G2" s="8" t="inlineStr">
        <is>
          <t>May 2026</t>
        </is>
      </c>
      <c r="H2" s="8" t="inlineStr">
        <is>
          <t>June 2026</t>
        </is>
      </c>
      <c r="I2" s="8" t="inlineStr">
        <is>
          <t>July 2026</t>
        </is>
      </c>
    </row>
    <row r="3">
      <c r="A3" s="10" t="inlineStr">
        <is>
          <t>Oil sales</t>
        </is>
      </c>
      <c r="B3" s="11" t="inlineStr">
        <is>
          <t>Bbl</t>
        </is>
      </c>
      <c r="C3" s="43" t="n">
        <v>14816.43</v>
      </c>
      <c r="D3" s="43" t="n">
        <v>28453.67</v>
      </c>
      <c r="E3" s="43" t="n">
        <v>39556.21</v>
      </c>
      <c r="F3" s="43" t="n">
        <v>50341.03</v>
      </c>
      <c r="G3" s="43" t="n">
        <v>63994.01</v>
      </c>
      <c r="H3" s="43" t="n">
        <v>74241.14</v>
      </c>
      <c r="I3" s="43" t="n">
        <v>60612.31</v>
      </c>
    </row>
    <row r="4">
      <c r="A4" s="10" t="inlineStr">
        <is>
          <t>Natural gas sales</t>
        </is>
      </c>
      <c r="B4" s="11" t="inlineStr">
        <is>
          <t>Mcf</t>
        </is>
      </c>
      <c r="C4" s="43" t="n">
        <v>68209.24000000001</v>
      </c>
      <c r="D4" s="43" t="n">
        <v>153589.66</v>
      </c>
      <c r="E4" s="43" t="n">
        <v>227816.62</v>
      </c>
      <c r="F4" s="43" t="n">
        <v>247242.78</v>
      </c>
      <c r="G4" s="43" t="n">
        <v>376216.36</v>
      </c>
      <c r="H4" s="43" t="n">
        <v>390705.86</v>
      </c>
      <c r="I4" s="43" t="n">
        <v>298901.56</v>
      </c>
    </row>
    <row r="5">
      <c r="A5" s="12" t="inlineStr">
        <is>
          <t>Natural gas liquid sales</t>
        </is>
      </c>
      <c r="B5" s="13" t="inlineStr">
        <is>
          <t>Bbl</t>
        </is>
      </c>
      <c r="C5" s="43" t="n">
        <v>8690.459999999999</v>
      </c>
      <c r="D5" s="43" t="n">
        <v>18909.9</v>
      </c>
      <c r="E5" s="43" t="n">
        <v>23442.52</v>
      </c>
      <c r="F5" s="43" t="n">
        <v>29787.51</v>
      </c>
      <c r="G5" s="43" t="n">
        <v>39610.2</v>
      </c>
      <c r="H5" s="43" t="n">
        <v>43256.53</v>
      </c>
      <c r="I5" s="43" t="n">
        <v>39553.95</v>
      </c>
    </row>
    <row r="6">
      <c r="A6" s="8" t="inlineStr">
        <is>
          <t>Grand Total</t>
        </is>
      </c>
      <c r="B6" s="8" t="inlineStr">
        <is>
          <t>BOE</t>
        </is>
      </c>
      <c r="C6" s="43" t="n">
        <v>34875.1</v>
      </c>
      <c r="D6" s="43" t="n">
        <v>72961.84</v>
      </c>
      <c r="E6" s="43" t="n">
        <v>100968.16</v>
      </c>
      <c r="F6" s="43" t="n">
        <v>121335.67</v>
      </c>
      <c r="G6" s="43" t="n">
        <v>166306.94</v>
      </c>
      <c r="H6" s="43" t="n">
        <v>182615.31</v>
      </c>
      <c r="I6" s="43" t="n">
        <v>149983.18</v>
      </c>
    </row>
    <row r="7">
      <c r="C7" s="7" t="n"/>
      <c r="D7" s="7" t="n"/>
      <c r="E7" s="7" t="n"/>
      <c r="F7" s="7" t="n"/>
      <c r="G7" s="7" t="n"/>
      <c r="H7" s="7" t="n"/>
      <c r="I7" s="7" t="n"/>
    </row>
    <row r="8">
      <c r="A8" s="9" t="inlineStr">
        <is>
          <t>Revenue:</t>
        </is>
      </c>
      <c r="C8" s="7" t="n"/>
      <c r="D8" s="7" t="n"/>
      <c r="E8" s="7" t="n"/>
      <c r="F8" s="7" t="n"/>
      <c r="G8" s="7" t="n"/>
      <c r="H8" s="7" t="n"/>
      <c r="I8" s="7" t="n"/>
    </row>
    <row r="9">
      <c r="A9" s="10" t="inlineStr">
        <is>
          <t>Oil sales</t>
        </is>
      </c>
      <c r="B9" s="11" t="inlineStr">
        <is>
          <t>$</t>
        </is>
      </c>
      <c r="C9" s="38" t="n">
        <v>1171364.59</v>
      </c>
      <c r="D9" s="38" t="n">
        <v>2097202.08</v>
      </c>
      <c r="E9" s="38" t="n">
        <v>2783640.61</v>
      </c>
      <c r="F9" s="38" t="n">
        <v>3164776</v>
      </c>
      <c r="G9" s="38" t="n">
        <v>4941978.28</v>
      </c>
      <c r="H9" s="38" t="n">
        <v>6006130.93</v>
      </c>
      <c r="I9" s="38" t="n">
        <v>3973707.77</v>
      </c>
    </row>
    <row r="10">
      <c r="A10" s="10" t="inlineStr">
        <is>
          <t>Natural gas sales</t>
        </is>
      </c>
      <c r="B10" s="11" t="inlineStr">
        <is>
          <t>$</t>
        </is>
      </c>
      <c r="C10" s="38" t="n">
        <v>-11298.8</v>
      </c>
      <c r="D10" s="38" t="n">
        <v>133634.78</v>
      </c>
      <c r="E10" s="38" t="n">
        <v>446238.79</v>
      </c>
      <c r="F10" s="38" t="n">
        <v>450104.43</v>
      </c>
      <c r="G10" s="38" t="n">
        <v>-91764.19</v>
      </c>
      <c r="H10" s="38" t="n">
        <v>811956.22</v>
      </c>
      <c r="I10" s="38" t="n">
        <v>-175817.39</v>
      </c>
    </row>
    <row r="11">
      <c r="A11" s="12" t="inlineStr">
        <is>
          <t>Natural gas liquid sales</t>
        </is>
      </c>
      <c r="B11" s="13" t="inlineStr">
        <is>
          <t>$</t>
        </is>
      </c>
      <c r="C11" s="38" t="n">
        <v>157704.58</v>
      </c>
      <c r="D11" s="38" t="n">
        <v>216379.33</v>
      </c>
      <c r="E11" s="38" t="n">
        <v>357573.62</v>
      </c>
      <c r="F11" s="38" t="n">
        <v>624706.59</v>
      </c>
      <c r="G11" s="38" t="n">
        <v>810407.65</v>
      </c>
      <c r="H11" s="38" t="n">
        <v>570645.59</v>
      </c>
      <c r="I11" s="38" t="n">
        <v>691745.64</v>
      </c>
    </row>
    <row r="12">
      <c r="A12" s="8" t="inlineStr">
        <is>
          <t>Total Revenue</t>
        </is>
      </c>
      <c r="B12" s="8" t="n"/>
      <c r="C12" s="38" t="n">
        <v>1317770.37</v>
      </c>
      <c r="D12" s="38" t="n">
        <v>2447216.2</v>
      </c>
      <c r="E12" s="38" t="n">
        <v>3587453.02</v>
      </c>
      <c r="F12" s="38" t="n">
        <v>4239587.02</v>
      </c>
      <c r="G12" s="38" t="n">
        <v>5660621.74</v>
      </c>
      <c r="H12" s="38" t="n">
        <v>7388732.74</v>
      </c>
      <c r="I12" s="38" t="n">
        <v>4489636.02</v>
      </c>
    </row>
    <row r="13">
      <c r="C13" s="7" t="n"/>
      <c r="D13" s="7" t="n"/>
      <c r="E13" s="7" t="n"/>
      <c r="F13" s="7" t="n"/>
      <c r="G13" s="7" t="n"/>
      <c r="H13" s="7" t="n"/>
      <c r="I13" s="7" t="n"/>
    </row>
    <row r="14">
      <c r="A14" s="8" t="inlineStr">
        <is>
          <t>Realized Price:</t>
        </is>
      </c>
      <c r="C14" s="7" t="n"/>
      <c r="D14" s="7" t="n"/>
      <c r="E14" s="7" t="n"/>
      <c r="F14" s="7" t="n"/>
      <c r="G14" s="7" t="n"/>
      <c r="H14" s="7" t="n"/>
      <c r="I14" s="7" t="n"/>
    </row>
    <row r="15">
      <c r="A15" s="10" t="inlineStr">
        <is>
          <t xml:space="preserve">Oil </t>
        </is>
      </c>
      <c r="B15" t="inlineStr">
        <is>
          <t>$/Bbl</t>
        </is>
      </c>
      <c r="C15" s="51" t="n">
        <v>79.06</v>
      </c>
      <c r="D15" s="51" t="n">
        <v>73.70999999999999</v>
      </c>
      <c r="E15" s="51" t="n">
        <v>70.37</v>
      </c>
      <c r="F15" s="51" t="n">
        <v>62.87</v>
      </c>
      <c r="G15" s="51" t="n">
        <v>77.23</v>
      </c>
      <c r="H15" s="51" t="n">
        <v>80.90000000000001</v>
      </c>
      <c r="I15" s="51" t="n">
        <v>65.56</v>
      </c>
    </row>
    <row r="16">
      <c r="A16" s="10" t="inlineStr">
        <is>
          <t>Natural gas</t>
        </is>
      </c>
      <c r="B16" t="inlineStr">
        <is>
          <t>$/Mcf</t>
        </is>
      </c>
      <c r="C16" s="51" t="n">
        <v>-0.17</v>
      </c>
      <c r="D16" s="51" t="n">
        <v>0.87</v>
      </c>
      <c r="E16" s="51" t="n">
        <v>1.96</v>
      </c>
      <c r="F16" s="51" t="n">
        <v>1.82</v>
      </c>
      <c r="G16" s="51" t="n">
        <v>-0.24</v>
      </c>
      <c r="H16" s="51" t="n">
        <v>2.08</v>
      </c>
      <c r="I16" s="51" t="n">
        <v>-0.59</v>
      </c>
    </row>
    <row r="17">
      <c r="A17" s="10" t="inlineStr">
        <is>
          <t>Natural gas liquids</t>
        </is>
      </c>
      <c r="B17" t="inlineStr">
        <is>
          <t>$/Bbl</t>
        </is>
      </c>
      <c r="C17" s="51" t="n">
        <v>18.15</v>
      </c>
      <c r="D17" s="51" t="n">
        <v>11.44</v>
      </c>
      <c r="E17" s="51" t="n">
        <v>15.25</v>
      </c>
      <c r="F17" s="51" t="n">
        <v>20.97</v>
      </c>
      <c r="G17" s="51" t="n">
        <v>20.46</v>
      </c>
      <c r="H17" s="51" t="n">
        <v>13.19</v>
      </c>
      <c r="I17" s="51" t="n">
        <v>17.49</v>
      </c>
    </row>
    <row r="18">
      <c r="C18" s="7" t="n"/>
      <c r="D18" s="7" t="n"/>
      <c r="E18" s="7" t="n"/>
      <c r="F18" s="7" t="n"/>
      <c r="G18" s="7" t="n"/>
      <c r="H18" s="7" t="n"/>
      <c r="I18" s="7" t="n"/>
    </row>
    <row r="19">
      <c r="A19" s="8" t="inlineStr">
        <is>
          <t>Production Tax:</t>
        </is>
      </c>
      <c r="C19" s="7" t="n"/>
      <c r="D19" s="7" t="n"/>
      <c r="E19" s="7" t="n"/>
      <c r="F19" s="7" t="n"/>
      <c r="G19" s="7" t="n"/>
      <c r="H19" s="7" t="n"/>
      <c r="I19" s="7" t="n"/>
    </row>
    <row r="20">
      <c r="A20" s="10" t="inlineStr">
        <is>
          <t>Production tax - Oil</t>
        </is>
      </c>
      <c r="C20" s="38" t="n">
        <v>53882.77</v>
      </c>
      <c r="D20" s="38" t="n">
        <v>96471.3</v>
      </c>
      <c r="E20" s="38" t="n">
        <v>128047.47</v>
      </c>
      <c r="F20" s="38" t="n">
        <v>145579.7</v>
      </c>
      <c r="G20" s="38" t="n">
        <v>227331</v>
      </c>
      <c r="H20" s="38" t="n">
        <v>276282.02</v>
      </c>
      <c r="I20" s="38" t="n">
        <v>182790.56</v>
      </c>
    </row>
    <row r="21">
      <c r="A21" s="10" t="inlineStr">
        <is>
          <t>Production tax - Gas</t>
        </is>
      </c>
      <c r="C21" s="38" t="n">
        <v>0</v>
      </c>
      <c r="D21" s="38" t="n">
        <v>6147.2</v>
      </c>
      <c r="E21" s="38" t="n">
        <v>20526.98</v>
      </c>
      <c r="F21" s="38" t="n">
        <v>20704.8</v>
      </c>
      <c r="G21" s="38" t="n">
        <v>0</v>
      </c>
      <c r="H21" s="38" t="n">
        <v>37349.99</v>
      </c>
      <c r="I21" s="38" t="n">
        <v>0</v>
      </c>
    </row>
    <row r="22">
      <c r="A22" s="12" t="inlineStr">
        <is>
          <t>Production tax - Liquids</t>
        </is>
      </c>
      <c r="B22" s="14" t="n"/>
      <c r="C22" s="38" t="n">
        <v>7254.41</v>
      </c>
      <c r="D22" s="38" t="n">
        <v>9953.450000000001</v>
      </c>
      <c r="E22" s="38" t="n">
        <v>16448.39</v>
      </c>
      <c r="F22" s="38" t="n">
        <v>28736.5</v>
      </c>
      <c r="G22" s="38" t="n">
        <v>37278.75</v>
      </c>
      <c r="H22" s="38" t="n">
        <v>26249.7</v>
      </c>
      <c r="I22" s="38" t="n">
        <v>31820.3</v>
      </c>
    </row>
    <row r="23">
      <c r="A23" s="8" t="inlineStr">
        <is>
          <t>Total Production Tax</t>
        </is>
      </c>
      <c r="B23" s="8" t="n"/>
      <c r="C23" s="38" t="n">
        <v>61137.18</v>
      </c>
      <c r="D23" s="38" t="n">
        <v>112571.95</v>
      </c>
      <c r="E23" s="38" t="n">
        <v>165022.84</v>
      </c>
      <c r="F23" s="38" t="n">
        <v>195021</v>
      </c>
      <c r="G23" s="38" t="n">
        <v>264609.75</v>
      </c>
      <c r="H23" s="38" t="n">
        <v>339881.71</v>
      </c>
      <c r="I23" s="38" t="n">
        <v>214610.86</v>
      </c>
    </row>
    <row r="24">
      <c r="C24" s="7" t="n"/>
      <c r="D24" s="7" t="n"/>
      <c r="E24" s="7" t="n"/>
      <c r="F24" s="7" t="n"/>
      <c r="G24" s="7" t="n"/>
      <c r="H24" s="7" t="n"/>
      <c r="I24" s="7" t="n"/>
    </row>
    <row r="25">
      <c r="A25" s="8" t="inlineStr">
        <is>
          <t>Deductions:</t>
        </is>
      </c>
      <c r="C25" s="7" t="n"/>
      <c r="D25" s="7" t="n"/>
      <c r="E25" s="7" t="n"/>
      <c r="F25" s="7" t="n"/>
      <c r="G25" s="7" t="n"/>
      <c r="H25" s="7" t="n"/>
      <c r="I25" s="7" t="n"/>
    </row>
    <row r="26">
      <c r="A26" s="10" t="inlineStr">
        <is>
          <t>Revenue Deducts - Oil</t>
        </is>
      </c>
      <c r="C26" s="38" t="n">
        <v>8030.71</v>
      </c>
      <c r="D26" s="38" t="n">
        <v>34231.89</v>
      </c>
      <c r="E26" s="38" t="n">
        <v>55133.4</v>
      </c>
      <c r="F26" s="38" t="n">
        <v>37970.83</v>
      </c>
      <c r="G26" s="38" t="n">
        <v>84608.7</v>
      </c>
      <c r="H26" s="38" t="n">
        <v>63685.24</v>
      </c>
      <c r="I26" s="38" t="n">
        <v>63522.25</v>
      </c>
    </row>
    <row r="27">
      <c r="A27" s="10" t="inlineStr">
        <is>
          <t>Revenue Deducts - Gas</t>
        </is>
      </c>
      <c r="C27" s="38" t="n">
        <v>19249.3</v>
      </c>
      <c r="D27" s="38" t="n">
        <v>59042.76</v>
      </c>
      <c r="E27" s="38" t="n">
        <v>37334.56</v>
      </c>
      <c r="F27" s="38" t="n">
        <v>35413.21</v>
      </c>
      <c r="G27" s="38" t="n">
        <v>117729.86</v>
      </c>
      <c r="H27" s="38" t="n">
        <v>118748.62</v>
      </c>
      <c r="I27" s="38" t="n">
        <v>116331.04</v>
      </c>
    </row>
    <row r="28">
      <c r="A28" s="12" t="inlineStr">
        <is>
          <t>Revenue Deducts - Liquids</t>
        </is>
      </c>
      <c r="B28" s="14" t="n"/>
      <c r="C28" s="38" t="n">
        <v>6697</v>
      </c>
      <c r="D28" s="38" t="n">
        <v>9796.360000000001</v>
      </c>
      <c r="E28" s="38" t="n">
        <v>9946.360000000001</v>
      </c>
      <c r="F28" s="38" t="n">
        <v>18704.83</v>
      </c>
      <c r="G28" s="38" t="n">
        <v>31010.06</v>
      </c>
      <c r="H28" s="38" t="n">
        <v>33250.59</v>
      </c>
      <c r="I28" s="38" t="n">
        <v>24797.39</v>
      </c>
    </row>
    <row r="29">
      <c r="A29" s="8" t="inlineStr">
        <is>
          <t>Total Deductions</t>
        </is>
      </c>
      <c r="B29" s="8" t="n"/>
      <c r="C29" s="38" t="n">
        <v>33977.01</v>
      </c>
      <c r="D29" s="38" t="n">
        <v>103071.01</v>
      </c>
      <c r="E29" s="38" t="n">
        <v>102414.32</v>
      </c>
      <c r="F29" s="38" t="n">
        <v>92088.87</v>
      </c>
      <c r="G29" s="38" t="n">
        <v>233348.63</v>
      </c>
      <c r="H29" s="38" t="n">
        <v>215684.45</v>
      </c>
      <c r="I29" s="38" t="n">
        <v>204650.68</v>
      </c>
    </row>
    <row r="30">
      <c r="C30" s="7" t="n"/>
      <c r="D30" s="7" t="n"/>
      <c r="E30" s="7" t="n"/>
      <c r="F30" s="7" t="n"/>
      <c r="G30" s="7" t="n"/>
      <c r="H30" s="7" t="n"/>
      <c r="I30" s="7" t="n"/>
    </row>
    <row r="31">
      <c r="A31" s="8" t="inlineStr">
        <is>
          <t>Lease Operating Expense:</t>
        </is>
      </c>
      <c r="C31" s="7" t="n"/>
      <c r="D31" s="7" t="n"/>
      <c r="E31" s="7" t="n"/>
      <c r="F31" s="7" t="n"/>
      <c r="G31" s="7" t="n"/>
      <c r="H31" s="7" t="n"/>
      <c r="I31" s="7" t="n"/>
    </row>
    <row r="32">
      <c r="A32" s="10" t="inlineStr">
        <is>
          <t>9001 - LOE - CHARTS, METERS &amp; AUTOM</t>
        </is>
      </c>
      <c r="C32" s="38" t="n">
        <v>17963.18</v>
      </c>
      <c r="D32" s="38" t="n">
        <v>35413.78</v>
      </c>
      <c r="E32" s="38" t="n">
        <v>29974</v>
      </c>
      <c r="F32" s="38" t="n">
        <v>48915.85</v>
      </c>
      <c r="G32" s="38" t="n">
        <v>72199.91</v>
      </c>
      <c r="H32" s="38" t="n">
        <v>62521.74</v>
      </c>
      <c r="I32" s="38" t="n">
        <v>43104.16</v>
      </c>
    </row>
    <row r="33">
      <c r="A33" s="10" t="inlineStr">
        <is>
          <t>9002 - LOE - CHEMICALS &amp; TREATING</t>
        </is>
      </c>
      <c r="C33" s="38" t="n">
        <v>11493.77</v>
      </c>
      <c r="D33" s="38" t="n">
        <v>16086.16</v>
      </c>
      <c r="E33" s="38" t="n">
        <v>30206.65</v>
      </c>
      <c r="F33" s="38" t="n">
        <v>26998.3</v>
      </c>
      <c r="G33" s="38" t="n">
        <v>32794.58</v>
      </c>
      <c r="H33" s="38" t="n">
        <v>56688.33</v>
      </c>
      <c r="I33" s="38" t="n">
        <v>32593.93</v>
      </c>
    </row>
    <row r="34">
      <c r="A34" s="15" t="inlineStr">
        <is>
          <t>9003 - LOE - COMPANY VEHICLE</t>
        </is>
      </c>
      <c r="C34" s="38" t="n">
        <v>5396.31</v>
      </c>
      <c r="D34" s="38" t="n">
        <v>14647.68</v>
      </c>
      <c r="E34" s="38" t="n">
        <v>19312.68</v>
      </c>
      <c r="F34" s="38" t="n">
        <v>22361.85</v>
      </c>
      <c r="G34" s="38" t="n">
        <v>27368.96</v>
      </c>
      <c r="H34" s="38" t="n">
        <v>30937.23</v>
      </c>
      <c r="I34" s="38" t="n">
        <v>26865.78</v>
      </c>
    </row>
    <row r="35">
      <c r="A35" s="15" t="inlineStr">
        <is>
          <t>9004 - LOE - COMPRESSION</t>
        </is>
      </c>
      <c r="C35" s="38" t="n">
        <v>19427.47</v>
      </c>
      <c r="D35" s="38" t="n">
        <v>52253.02</v>
      </c>
      <c r="E35" s="38" t="n">
        <v>72704.77</v>
      </c>
      <c r="F35" s="38" t="n">
        <v>92167.52</v>
      </c>
      <c r="G35" s="38" t="n">
        <v>102430.17</v>
      </c>
      <c r="H35" s="38" t="n">
        <v>177351.13</v>
      </c>
      <c r="I35" s="38" t="n">
        <v>95717.5</v>
      </c>
    </row>
    <row r="36">
      <c r="A36" s="10" t="inlineStr">
        <is>
          <t>9005 - LOE - CONTRACT LABOR</t>
        </is>
      </c>
      <c r="C36" s="38" t="n">
        <v>17115.52</v>
      </c>
      <c r="D36" s="38" t="n">
        <v>40357.36</v>
      </c>
      <c r="E36" s="38" t="n">
        <v>46091.87</v>
      </c>
      <c r="F36" s="38" t="n">
        <v>58075.32</v>
      </c>
      <c r="G36" s="38" t="n">
        <v>70729.45</v>
      </c>
      <c r="H36" s="38" t="n">
        <v>96060.23</v>
      </c>
      <c r="I36" s="38" t="n">
        <v>70296.44</v>
      </c>
    </row>
    <row r="37">
      <c r="A37" s="15" t="inlineStr">
        <is>
          <t>9006 - LOE - DELAY RENTAL</t>
        </is>
      </c>
      <c r="C37" s="38" t="n">
        <v>16799</v>
      </c>
      <c r="D37" s="38" t="n">
        <v>23997.72</v>
      </c>
      <c r="E37" s="38" t="n">
        <v>33043.16</v>
      </c>
      <c r="F37" s="38" t="n">
        <v>54914.19</v>
      </c>
      <c r="G37" s="38" t="n">
        <v>43773.45</v>
      </c>
      <c r="H37" s="38" t="n">
        <v>103906.59</v>
      </c>
      <c r="I37" s="38" t="n">
        <v>43178.2</v>
      </c>
    </row>
    <row r="38">
      <c r="A38" s="10" t="inlineStr">
        <is>
          <t>9007 - LOE - ELEC LABOR, SVCS, &amp; MATL</t>
        </is>
      </c>
      <c r="C38" s="38" t="n">
        <v>8233.440000000001</v>
      </c>
      <c r="D38" s="38" t="n">
        <v>16761.05</v>
      </c>
      <c r="E38" s="38" t="n">
        <v>14885.62</v>
      </c>
      <c r="F38" s="38" t="n">
        <v>25755.98</v>
      </c>
      <c r="G38" s="38" t="n">
        <v>24618.5</v>
      </c>
      <c r="H38" s="38" t="n">
        <v>33620.51</v>
      </c>
      <c r="I38" s="38" t="n">
        <v>21844.1</v>
      </c>
    </row>
    <row r="39">
      <c r="A39" s="10" t="inlineStr">
        <is>
          <t>9008 - LOE - EQUIPMENT RENTAL</t>
        </is>
      </c>
      <c r="C39" s="38" t="n">
        <v>19279.52</v>
      </c>
      <c r="D39" s="38" t="n">
        <v>24574.58</v>
      </c>
      <c r="E39" s="38" t="n">
        <v>58819.57</v>
      </c>
      <c r="F39" s="38" t="n">
        <v>50650.67</v>
      </c>
      <c r="G39" s="38" t="n">
        <v>51700.19</v>
      </c>
      <c r="H39" s="38" t="n">
        <v>108137.61</v>
      </c>
      <c r="I39" s="38" t="n">
        <v>72967.60000000001</v>
      </c>
    </row>
    <row r="40">
      <c r="A40" s="15" t="inlineStr">
        <is>
          <t>9009 - LOE - FOREMAN/SUPERVISION LAB.</t>
        </is>
      </c>
      <c r="C40" s="38" t="n">
        <v>16207.06</v>
      </c>
      <c r="D40" s="38" t="n">
        <v>25891.99</v>
      </c>
      <c r="E40" s="38" t="n">
        <v>52429.37</v>
      </c>
      <c r="F40" s="38" t="n">
        <v>55067.88</v>
      </c>
      <c r="G40" s="38" t="n">
        <v>56704.96</v>
      </c>
      <c r="H40" s="38" t="n">
        <v>65105.85</v>
      </c>
      <c r="I40" s="38" t="n">
        <v>63369.23</v>
      </c>
    </row>
    <row r="41">
      <c r="A41" s="10" t="inlineStr">
        <is>
          <t>9010 - LOE - FUEL &amp; POWER</t>
        </is>
      </c>
      <c r="C41" s="38" t="n">
        <v>20276.53</v>
      </c>
      <c r="D41" s="38" t="n">
        <v>40257.55</v>
      </c>
      <c r="E41" s="38" t="n">
        <v>48996.23</v>
      </c>
      <c r="F41" s="38" t="n">
        <v>61426.18</v>
      </c>
      <c r="G41" s="38" t="n">
        <v>117825.72</v>
      </c>
      <c r="H41" s="38" t="n">
        <v>138255.13</v>
      </c>
      <c r="I41" s="38" t="n">
        <v>65681.94</v>
      </c>
    </row>
    <row r="42">
      <c r="A42" s="10" t="inlineStr">
        <is>
          <t>9011 - LOE - HAULING &amp; TRANSPORTATION</t>
        </is>
      </c>
      <c r="C42" s="38" t="n">
        <v>10242.28</v>
      </c>
      <c r="D42" s="38" t="n">
        <v>24532.2</v>
      </c>
      <c r="E42" s="38" t="n">
        <v>35306.18</v>
      </c>
      <c r="F42" s="38" t="n">
        <v>48322.35</v>
      </c>
      <c r="G42" s="38" t="n">
        <v>46300.6</v>
      </c>
      <c r="H42" s="38" t="n">
        <v>62925.02</v>
      </c>
      <c r="I42" s="38" t="n">
        <v>51321.12</v>
      </c>
    </row>
    <row r="43">
      <c r="A43" s="10" t="inlineStr">
        <is>
          <t>9012 - LOE - HOT OIL TREATMENT</t>
        </is>
      </c>
      <c r="C43" s="38" t="n">
        <v>11801.11</v>
      </c>
      <c r="D43" s="38" t="n">
        <v>21660</v>
      </c>
      <c r="E43" s="38" t="n">
        <v>25647.56</v>
      </c>
      <c r="F43" s="38" t="n">
        <v>37988.57</v>
      </c>
      <c r="G43" s="38" t="n">
        <v>41524.07</v>
      </c>
      <c r="H43" s="38" t="n">
        <v>43350.79</v>
      </c>
      <c r="I43" s="38" t="n">
        <v>34520.88</v>
      </c>
    </row>
    <row r="44">
      <c r="A44" s="15" t="inlineStr">
        <is>
          <t>9013 - LOE - INSURANCE &amp; BONDS</t>
        </is>
      </c>
      <c r="C44" s="38" t="n">
        <v>22740.68</v>
      </c>
      <c r="D44" s="38" t="n">
        <v>32029.3</v>
      </c>
      <c r="E44" s="38" t="n">
        <v>48287.46</v>
      </c>
      <c r="F44" s="38" t="n">
        <v>46921.94</v>
      </c>
      <c r="G44" s="38" t="n">
        <v>61104.62</v>
      </c>
      <c r="H44" s="38" t="n">
        <v>106326.05</v>
      </c>
      <c r="I44" s="38" t="n">
        <v>76567.67</v>
      </c>
    </row>
    <row r="45">
      <c r="A45" s="15" t="inlineStr">
        <is>
          <t>9014 - LOE - LOCATION &amp; ROADS</t>
        </is>
      </c>
      <c r="C45" s="38" t="n">
        <v>21743.98</v>
      </c>
      <c r="D45" s="38" t="n">
        <v>48207.73</v>
      </c>
      <c r="E45" s="38" t="n">
        <v>73362.38</v>
      </c>
      <c r="F45" s="38" t="n">
        <v>70571.06</v>
      </c>
      <c r="G45" s="38" t="n">
        <v>104921.97</v>
      </c>
      <c r="H45" s="38" t="n">
        <v>128498.26</v>
      </c>
      <c r="I45" s="38" t="n">
        <v>53694.85</v>
      </c>
    </row>
    <row r="46">
      <c r="A46" s="15" t="inlineStr">
        <is>
          <t>9015 - LOE - ADMINISTRATIVE OVERHEAD</t>
        </is>
      </c>
      <c r="C46" s="38" t="n">
        <v>13058.44</v>
      </c>
      <c r="D46" s="38" t="n">
        <v>20683.58</v>
      </c>
      <c r="E46" s="38" t="n">
        <v>31548.55</v>
      </c>
      <c r="F46" s="38" t="n">
        <v>46788.6</v>
      </c>
      <c r="G46" s="38" t="n">
        <v>53577.8</v>
      </c>
      <c r="H46" s="38" t="n">
        <v>56498.07</v>
      </c>
      <c r="I46" s="38" t="n">
        <v>47446.14</v>
      </c>
    </row>
    <row r="47">
      <c r="A47" s="10" t="inlineStr">
        <is>
          <t>9016 - LOE - NON-OPERATED WELLS</t>
        </is>
      </c>
      <c r="C47" s="38" t="n">
        <v>13277.49</v>
      </c>
      <c r="D47" s="38" t="n">
        <v>16464.9</v>
      </c>
      <c r="E47" s="38" t="n">
        <v>33052.97</v>
      </c>
      <c r="F47" s="38" t="n">
        <v>37041.49</v>
      </c>
      <c r="G47" s="38" t="n">
        <v>44273.48</v>
      </c>
      <c r="H47" s="38" t="n">
        <v>51802</v>
      </c>
      <c r="I47" s="38" t="n">
        <v>42509.14</v>
      </c>
    </row>
    <row r="48">
      <c r="A48" s="15" t="inlineStr">
        <is>
          <t>9017 - LOE - PUMPING / GAUGER LABOR</t>
        </is>
      </c>
      <c r="C48" s="38" t="n">
        <v>19163.39</v>
      </c>
      <c r="D48" s="38" t="n">
        <v>30547.22</v>
      </c>
      <c r="E48" s="38" t="n">
        <v>41592.07</v>
      </c>
      <c r="F48" s="38" t="n">
        <v>72859.94</v>
      </c>
      <c r="G48" s="38" t="n">
        <v>107088.21</v>
      </c>
      <c r="H48" s="38" t="n">
        <v>121354.07</v>
      </c>
      <c r="I48" s="38" t="n">
        <v>57592.35</v>
      </c>
    </row>
    <row r="49">
      <c r="A49" s="10" t="inlineStr">
        <is>
          <t>9018 - LOE - REPAIRS AND REPLACEMENT</t>
        </is>
      </c>
      <c r="C49" s="38" t="n">
        <v>18696.08</v>
      </c>
      <c r="D49" s="38" t="n">
        <v>20982.69</v>
      </c>
      <c r="E49" s="38" t="n">
        <v>29772.42</v>
      </c>
      <c r="F49" s="38" t="n">
        <v>34340.7</v>
      </c>
      <c r="G49" s="38" t="n">
        <v>52684.17</v>
      </c>
      <c r="H49" s="38" t="n">
        <v>69546.39</v>
      </c>
      <c r="I49" s="38" t="n">
        <v>56103.07</v>
      </c>
    </row>
    <row r="50">
      <c r="A50" s="10" t="inlineStr">
        <is>
          <t>9019 - LOE - SAFETY ENVIR &amp; REGUL</t>
        </is>
      </c>
      <c r="C50" s="38" t="n">
        <v>19039.76</v>
      </c>
      <c r="D50" s="38" t="n">
        <v>25273.67</v>
      </c>
      <c r="E50" s="38" t="n">
        <v>45224.26</v>
      </c>
      <c r="F50" s="38" t="n">
        <v>51846.22</v>
      </c>
      <c r="G50" s="38" t="n">
        <v>73917.64</v>
      </c>
      <c r="H50" s="38" t="n">
        <v>114092.3</v>
      </c>
      <c r="I50" s="38" t="n">
        <v>52163.47</v>
      </c>
    </row>
    <row r="51">
      <c r="A51" s="10" t="inlineStr">
        <is>
          <t>9020 - LOE - SUBMERSIBLE PUMPS</t>
        </is>
      </c>
      <c r="C51" s="38" t="n">
        <v>23490.41</v>
      </c>
      <c r="D51" s="38" t="n">
        <v>26731.99</v>
      </c>
      <c r="E51" s="38" t="n">
        <v>62540.97</v>
      </c>
      <c r="F51" s="38" t="n">
        <v>53552.76</v>
      </c>
      <c r="G51" s="38" t="n">
        <v>72238.99000000001</v>
      </c>
      <c r="H51" s="38" t="n">
        <v>77349.62</v>
      </c>
      <c r="I51" s="38" t="n">
        <v>67283.07000000001</v>
      </c>
    </row>
    <row r="52">
      <c r="A52" s="10" t="inlineStr">
        <is>
          <t>9021 - LOE - SUPPLIES &amp; MISCELLANEOUS</t>
        </is>
      </c>
      <c r="C52" s="38" t="n">
        <v>21277.02</v>
      </c>
      <c r="D52" s="38" t="n">
        <v>45568.59</v>
      </c>
      <c r="E52" s="38" t="n">
        <v>44006.01</v>
      </c>
      <c r="F52" s="38" t="n">
        <v>66928.61</v>
      </c>
      <c r="G52" s="38" t="n">
        <v>68285.57000000001</v>
      </c>
      <c r="H52" s="38" t="n">
        <v>105585.28</v>
      </c>
      <c r="I52" s="38" t="n">
        <v>56407.7</v>
      </c>
    </row>
    <row r="53">
      <c r="A53" s="10" t="inlineStr">
        <is>
          <t>9022 - LOE - UTILITIES</t>
        </is>
      </c>
      <c r="C53" s="38" t="n">
        <v>25451.72</v>
      </c>
      <c r="D53" s="38" t="n">
        <v>42897.45</v>
      </c>
      <c r="E53" s="38" t="n">
        <v>80622.14999999999</v>
      </c>
      <c r="F53" s="38" t="n">
        <v>68977.97</v>
      </c>
      <c r="G53" s="38" t="n">
        <v>132876.5</v>
      </c>
      <c r="H53" s="38" t="n">
        <v>104205.27</v>
      </c>
      <c r="I53" s="38" t="n">
        <v>96868.55</v>
      </c>
    </row>
    <row r="54">
      <c r="A54" s="10" t="inlineStr">
        <is>
          <t>9023 - LOE - VACUUM TRUCK</t>
        </is>
      </c>
      <c r="C54" s="38" t="n">
        <v>29701.82</v>
      </c>
      <c r="D54" s="38" t="n">
        <v>36246.92</v>
      </c>
      <c r="E54" s="38" t="n">
        <v>81289.14999999999</v>
      </c>
      <c r="F54" s="38" t="n">
        <v>99054.02</v>
      </c>
      <c r="G54" s="38" t="n">
        <v>103375.11</v>
      </c>
      <c r="H54" s="38" t="n">
        <v>172539.86</v>
      </c>
      <c r="I54" s="38" t="n">
        <v>94820.36</v>
      </c>
    </row>
    <row r="55">
      <c r="A55" s="16" t="inlineStr">
        <is>
          <t>9024 - LOE - WATER HAULING &amp; SWD DISP</t>
        </is>
      </c>
      <c r="C55" s="38" t="n">
        <v>11266.97</v>
      </c>
      <c r="D55" s="38" t="n">
        <v>13267.69</v>
      </c>
      <c r="E55" s="38" t="n">
        <v>23488.43</v>
      </c>
      <c r="F55" s="38" t="n">
        <v>32709.14</v>
      </c>
      <c r="G55" s="38" t="n">
        <v>32148.98</v>
      </c>
      <c r="H55" s="38" t="n">
        <v>63596.16</v>
      </c>
      <c r="I55" s="38" t="n">
        <v>34671.96</v>
      </c>
    </row>
    <row r="56">
      <c r="A56" s="10" t="inlineStr">
        <is>
          <t>9025 - LOE - GENERATOR RENTAL</t>
        </is>
      </c>
      <c r="C56" s="38" t="n">
        <v>7780.32</v>
      </c>
      <c r="D56" s="38" t="n">
        <v>19724.21</v>
      </c>
      <c r="E56" s="38" t="n">
        <v>35047.18</v>
      </c>
      <c r="F56" s="38" t="n">
        <v>28712.68</v>
      </c>
      <c r="G56" s="38" t="n">
        <v>52969.36</v>
      </c>
      <c r="H56" s="38" t="n">
        <v>53659.1</v>
      </c>
      <c r="I56" s="38" t="n">
        <v>39044.73</v>
      </c>
    </row>
    <row r="57">
      <c r="A57" s="19" t="n"/>
      <c r="C57" s="7" t="n"/>
      <c r="D57" s="7" t="n"/>
      <c r="E57" s="7" t="n"/>
      <c r="F57" s="7" t="n"/>
      <c r="G57" s="7" t="n"/>
      <c r="H57" s="7" t="n"/>
      <c r="I57" s="7" t="n"/>
    </row>
    <row r="58">
      <c r="A58" s="10" t="inlineStr">
        <is>
          <t>Ad valorem tax</t>
        </is>
      </c>
      <c r="C58" s="38" t="n">
        <v>19766.56</v>
      </c>
      <c r="D58" s="38" t="n">
        <v>36708.24</v>
      </c>
      <c r="E58" s="38" t="n">
        <v>53811.8</v>
      </c>
      <c r="F58" s="38" t="n">
        <v>63593.81</v>
      </c>
      <c r="G58" s="38" t="n">
        <v>84909.33</v>
      </c>
      <c r="H58" s="38" t="n">
        <v>110830.99</v>
      </c>
      <c r="I58" s="38" t="n">
        <v>67344.53999999999</v>
      </c>
    </row>
    <row r="59">
      <c r="A59" s="20" t="n"/>
      <c r="B59" s="20" t="n"/>
      <c r="C59" s="26" t="n"/>
      <c r="D59" s="26" t="n"/>
      <c r="E59" s="26" t="n"/>
      <c r="F59" s="26" t="n"/>
      <c r="G59" s="26" t="n"/>
      <c r="H59" s="7" t="n"/>
      <c r="I59" s="7" t="n"/>
    </row>
    <row r="60">
      <c r="A60" s="21" t="inlineStr">
        <is>
          <t>Total LOE</t>
        </is>
      </c>
      <c r="B60" s="21" t="n"/>
      <c r="C60" s="38" t="n">
        <v>116672.18</v>
      </c>
      <c r="D60" s="38" t="n">
        <v>216670.56</v>
      </c>
      <c r="E60" s="38" t="n">
        <v>317624.35</v>
      </c>
      <c r="F60" s="38" t="n">
        <v>375362.7</v>
      </c>
      <c r="G60" s="38" t="n">
        <v>501177.65</v>
      </c>
      <c r="H60" s="38" t="n">
        <v>654180.39</v>
      </c>
      <c r="I60" s="38" t="n">
        <v>397501.43</v>
      </c>
    </row>
    <row r="61">
      <c r="A61" s="19" t="n"/>
      <c r="C61" s="7" t="n"/>
      <c r="D61" s="7" t="n"/>
      <c r="E61" s="7" t="n"/>
      <c r="F61" s="7" t="n"/>
      <c r="G61" s="7" t="n"/>
      <c r="H61" s="7" t="n"/>
      <c r="I61" s="7" t="n"/>
    </row>
    <row r="62" ht="15.75" customHeight="1" thickBot="1">
      <c r="A62" s="22" t="inlineStr">
        <is>
          <t>Operating Income (Loss)</t>
        </is>
      </c>
      <c r="B62" s="23" t="n"/>
      <c r="C62" s="38" t="n">
        <v>-168.48</v>
      </c>
      <c r="D62" s="38" t="n">
        <v>-74.22</v>
      </c>
      <c r="E62" s="38" t="n">
        <v>-3270.6</v>
      </c>
      <c r="F62" s="38" t="n">
        <v>-13461.91</v>
      </c>
      <c r="G62" s="38" t="n">
        <v>269458.5499999999</v>
      </c>
      <c r="H62" s="38" t="n">
        <v>1363035.3</v>
      </c>
      <c r="I62" s="38" t="n">
        <v>698215.95</v>
      </c>
    </row>
    <row r="63" ht="15.75" customHeight="1" thickTop="1">
      <c r="A63" s="19" t="n"/>
      <c r="C63" s="7" t="n"/>
      <c r="D63" s="7" t="n"/>
      <c r="E63" s="7" t="n"/>
      <c r="F63" s="7" t="n"/>
      <c r="G63" s="7" t="n"/>
      <c r="H63" s="7" t="n"/>
      <c r="I63" s="7" t="n"/>
    </row>
    <row r="64">
      <c r="A64" s="21" t="inlineStr">
        <is>
          <t>Workover Expense:</t>
        </is>
      </c>
      <c r="C64" s="7" t="n"/>
      <c r="D64" s="7" t="n"/>
      <c r="E64" s="7" t="n"/>
      <c r="F64" s="7" t="n"/>
      <c r="G64" s="7" t="n"/>
      <c r="H64" s="7" t="n"/>
      <c r="I64" s="7" t="n"/>
    </row>
    <row r="65">
      <c r="A65" s="10" t="inlineStr">
        <is>
          <t>9050 - WOE - CEMENT &amp; CEMENT SERVICES</t>
        </is>
      </c>
      <c r="C65" s="38" t="inlineStr"/>
      <c r="D65" s="38" t="inlineStr"/>
      <c r="E65" s="38" t="inlineStr"/>
      <c r="F65" s="38" t="inlineStr"/>
      <c r="G65" s="38" t="inlineStr"/>
      <c r="H65" s="38" t="inlineStr"/>
      <c r="I65" s="38" t="inlineStr"/>
    </row>
    <row r="66">
      <c r="A66" s="10" t="inlineStr">
        <is>
          <t>9051 - WOE - CHEMICALS &amp; TREATING</t>
        </is>
      </c>
      <c r="C66" s="38" t="inlineStr"/>
      <c r="D66" s="38" t="inlineStr"/>
      <c r="E66" s="38" t="inlineStr"/>
      <c r="F66" s="38" t="inlineStr"/>
      <c r="G66" s="38" t="inlineStr"/>
      <c r="H66" s="38" t="inlineStr"/>
      <c r="I66" s="38" t="inlineStr"/>
    </row>
    <row r="67">
      <c r="A67" s="10" t="inlineStr">
        <is>
          <t>9052 - WOE - COMPANY VEHICLE</t>
        </is>
      </c>
      <c r="C67" s="38" t="inlineStr"/>
      <c r="D67" s="38" t="inlineStr"/>
      <c r="E67" s="38" t="inlineStr"/>
      <c r="F67" s="38" t="inlineStr"/>
      <c r="G67" s="38" t="inlineStr"/>
      <c r="H67" s="38" t="inlineStr"/>
      <c r="I67" s="38" t="inlineStr"/>
    </row>
    <row r="68">
      <c r="A68" s="10" t="inlineStr">
        <is>
          <t>9053 - WOE - CONSULTING</t>
        </is>
      </c>
      <c r="C68" s="38" t="inlineStr"/>
      <c r="D68" s="38" t="inlineStr"/>
      <c r="E68" s="38" t="inlineStr"/>
      <c r="F68" s="38" t="inlineStr"/>
      <c r="G68" s="38" t="inlineStr"/>
      <c r="H68" s="38" t="inlineStr"/>
      <c r="I68" s="38" t="inlineStr"/>
    </row>
    <row r="69">
      <c r="A69" s="10" t="inlineStr">
        <is>
          <t>9054 - WOE - CONTRACT LABOR</t>
        </is>
      </c>
      <c r="C69" s="38" t="inlineStr"/>
      <c r="D69" s="38" t="inlineStr"/>
      <c r="E69" s="38" t="inlineStr"/>
      <c r="F69" s="38" t="inlineStr"/>
      <c r="G69" s="38" t="inlineStr"/>
      <c r="H69" s="38" t="inlineStr"/>
      <c r="I69" s="38" t="inlineStr"/>
    </row>
    <row r="70">
      <c r="A70" s="10" t="inlineStr">
        <is>
          <t>9055 - WOE - EQUIPMENT RENTAL</t>
        </is>
      </c>
      <c r="C70" s="38" t="inlineStr"/>
      <c r="D70" s="38" t="inlineStr"/>
      <c r="E70" s="38" t="inlineStr"/>
      <c r="F70" s="38" t="inlineStr"/>
      <c r="G70" s="38" t="inlineStr"/>
      <c r="H70" s="38" t="inlineStr"/>
      <c r="I70" s="38" t="inlineStr"/>
    </row>
    <row r="71">
      <c r="A71" s="10" t="inlineStr">
        <is>
          <t>9056 - WOE - FOREMAN/SUPERVISION LAB.</t>
        </is>
      </c>
      <c r="C71" s="38" t="inlineStr"/>
      <c r="D71" s="38" t="inlineStr"/>
      <c r="E71" s="38" t="inlineStr"/>
      <c r="F71" s="38" t="inlineStr"/>
      <c r="G71" s="38" t="inlineStr"/>
      <c r="H71" s="38" t="inlineStr"/>
      <c r="I71" s="38" t="inlineStr"/>
    </row>
    <row r="72">
      <c r="A72" s="10" t="inlineStr">
        <is>
          <t>9057 - WOE - HAULING &amp; TRANSPORTATION</t>
        </is>
      </c>
      <c r="C72" s="38" t="inlineStr"/>
      <c r="D72" s="38" t="inlineStr"/>
      <c r="E72" s="38" t="inlineStr"/>
      <c r="F72" s="38" t="inlineStr"/>
      <c r="G72" s="38" t="inlineStr"/>
      <c r="H72" s="38" t="inlineStr"/>
      <c r="I72" s="38" t="inlineStr"/>
    </row>
    <row r="73">
      <c r="A73" s="10" t="inlineStr">
        <is>
          <t>9058 - WOE - INSURANCE &amp; BONDS</t>
        </is>
      </c>
      <c r="C73" s="38" t="inlineStr"/>
      <c r="D73" s="38" t="inlineStr"/>
      <c r="E73" s="38" t="inlineStr"/>
      <c r="F73" s="38" t="inlineStr"/>
      <c r="G73" s="38" t="inlineStr"/>
      <c r="H73" s="38" t="inlineStr"/>
      <c r="I73" s="38" t="inlineStr"/>
    </row>
    <row r="74">
      <c r="A74" s="10" t="inlineStr">
        <is>
          <t>9059 - WOE - LOCATION &amp; ROADS</t>
        </is>
      </c>
      <c r="C74" s="38" t="inlineStr"/>
      <c r="D74" s="38" t="inlineStr"/>
      <c r="E74" s="38" t="inlineStr"/>
      <c r="F74" s="38" t="inlineStr"/>
      <c r="G74" s="38" t="inlineStr"/>
      <c r="H74" s="38" t="inlineStr"/>
      <c r="I74" s="38" t="inlineStr"/>
    </row>
    <row r="75">
      <c r="A75" s="10" t="inlineStr">
        <is>
          <t>9060 - WOE - NON-OPERATED WELLS</t>
        </is>
      </c>
      <c r="C75" s="38" t="inlineStr"/>
      <c r="D75" s="38" t="inlineStr"/>
      <c r="E75" s="38" t="inlineStr"/>
      <c r="F75" s="38" t="inlineStr"/>
      <c r="G75" s="38" t="inlineStr"/>
      <c r="H75" s="38" t="inlineStr"/>
      <c r="I75" s="38" t="inlineStr"/>
    </row>
    <row r="76">
      <c r="A76" s="10" t="inlineStr">
        <is>
          <t>9061 - WOE - PUMPING / GAUGER LABOR</t>
        </is>
      </c>
      <c r="C76" s="38" t="inlineStr"/>
      <c r="D76" s="38" t="inlineStr"/>
      <c r="E76" s="38" t="inlineStr"/>
      <c r="F76" s="38" t="inlineStr"/>
      <c r="G76" s="38" t="inlineStr"/>
      <c r="H76" s="38" t="inlineStr"/>
      <c r="I76" s="38" t="inlineStr"/>
    </row>
    <row r="77">
      <c r="A77" s="10" t="inlineStr">
        <is>
          <t>9062 - WOE - REPAIRS AND REPLACEMENT</t>
        </is>
      </c>
      <c r="C77" s="38" t="inlineStr"/>
      <c r="D77" s="38" t="inlineStr"/>
      <c r="E77" s="38" t="inlineStr"/>
      <c r="F77" s="38" t="inlineStr"/>
      <c r="G77" s="38" t="inlineStr"/>
      <c r="H77" s="38" t="inlineStr"/>
      <c r="I77" s="38" t="inlineStr"/>
    </row>
    <row r="78">
      <c r="A78" s="10" t="inlineStr">
        <is>
          <t>9063 - WOE - SAFETY ENVIR &amp; REGUL</t>
        </is>
      </c>
      <c r="C78" s="38" t="inlineStr"/>
      <c r="D78" s="38" t="inlineStr"/>
      <c r="E78" s="38" t="inlineStr"/>
      <c r="F78" s="38" t="inlineStr"/>
      <c r="G78" s="38" t="inlineStr"/>
      <c r="H78" s="38" t="inlineStr"/>
      <c r="I78" s="38" t="inlineStr"/>
    </row>
    <row r="79">
      <c r="A79" s="10" t="inlineStr">
        <is>
          <t>9064 - WOE - SUPPLIES &amp; MISCELLANEOUS</t>
        </is>
      </c>
      <c r="C79" s="38" t="inlineStr"/>
      <c r="D79" s="38" t="inlineStr"/>
      <c r="E79" s="38" t="inlineStr"/>
      <c r="F79" s="38" t="inlineStr"/>
      <c r="G79" s="38" t="inlineStr"/>
      <c r="H79" s="38" t="inlineStr"/>
      <c r="I79" s="38" t="inlineStr"/>
    </row>
    <row r="80">
      <c r="A80" s="10" t="inlineStr">
        <is>
          <t>9065 - WOE - TEMPORARY ABANDONMENT</t>
        </is>
      </c>
      <c r="C80" s="38" t="inlineStr"/>
      <c r="D80" s="38" t="inlineStr"/>
      <c r="E80" s="38" t="inlineStr"/>
      <c r="F80" s="38" t="inlineStr"/>
      <c r="G80" s="38" t="inlineStr"/>
      <c r="H80" s="38" t="inlineStr"/>
      <c r="I80" s="38" t="inlineStr"/>
    </row>
    <row r="81">
      <c r="A81" s="10" t="inlineStr">
        <is>
          <t>9066 - WOE - TUBULAR INSPECTION</t>
        </is>
      </c>
      <c r="C81" s="38" t="inlineStr"/>
      <c r="D81" s="38" t="inlineStr"/>
      <c r="E81" s="38" t="inlineStr"/>
      <c r="F81" s="38" t="inlineStr"/>
      <c r="G81" s="38" t="inlineStr"/>
      <c r="H81" s="38" t="inlineStr"/>
      <c r="I81" s="38" t="inlineStr"/>
    </row>
    <row r="82">
      <c r="A82" s="10" t="inlineStr">
        <is>
          <t>9067 - WOE - VACUUM TRUCK</t>
        </is>
      </c>
      <c r="C82" s="38" t="inlineStr"/>
      <c r="D82" s="38" t="inlineStr"/>
      <c r="E82" s="38" t="inlineStr"/>
      <c r="F82" s="38" t="inlineStr"/>
      <c r="G82" s="38" t="inlineStr"/>
      <c r="H82" s="38" t="inlineStr"/>
      <c r="I82" s="38" t="inlineStr"/>
    </row>
    <row r="83">
      <c r="A83" s="10" t="inlineStr">
        <is>
          <t>9068 - WOE - WIRELINE</t>
        </is>
      </c>
      <c r="C83" s="38" t="inlineStr"/>
      <c r="D83" s="38" t="inlineStr"/>
      <c r="E83" s="38" t="inlineStr"/>
      <c r="F83" s="38" t="inlineStr"/>
      <c r="G83" s="38" t="inlineStr"/>
      <c r="H83" s="38" t="inlineStr"/>
      <c r="I83" s="38" t="inlineStr"/>
    </row>
    <row r="84">
      <c r="A84" s="10" t="inlineStr">
        <is>
          <t>9069 - WOE - ADMINISTRATIVE OVERHEAD</t>
        </is>
      </c>
      <c r="C84" s="38" t="inlineStr"/>
      <c r="D84" s="38" t="inlineStr"/>
      <c r="E84" s="38" t="inlineStr"/>
      <c r="F84" s="38" t="inlineStr"/>
      <c r="G84" s="38" t="inlineStr"/>
      <c r="H84" s="38" t="inlineStr"/>
      <c r="I84" s="38" t="inlineStr"/>
    </row>
    <row r="85">
      <c r="A85" s="12" t="inlineStr">
        <is>
          <t>9070 - WOE - WORKOVER RIG</t>
        </is>
      </c>
      <c r="B85" s="14" t="n"/>
      <c r="C85" s="38" t="inlineStr"/>
      <c r="D85" s="38" t="inlineStr"/>
      <c r="E85" s="38" t="inlineStr"/>
      <c r="F85" s="38" t="inlineStr"/>
      <c r="G85" s="38" t="inlineStr"/>
      <c r="H85" s="38" t="inlineStr"/>
      <c r="I85" s="38" t="inlineStr"/>
    </row>
    <row r="86">
      <c r="A86" s="21" t="inlineStr">
        <is>
          <t>Total Workover Expense</t>
        </is>
      </c>
      <c r="C86" s="38" t="n">
        <v>0</v>
      </c>
      <c r="D86" s="38" t="n">
        <v>0</v>
      </c>
      <c r="E86" s="38" t="n">
        <v>0</v>
      </c>
      <c r="F86" s="38" t="n">
        <v>0</v>
      </c>
      <c r="G86" s="38" t="n">
        <v>0</v>
      </c>
      <c r="H86" s="38" t="n">
        <v>0</v>
      </c>
      <c r="I86" s="38" t="n">
        <v>0</v>
      </c>
    </row>
    <row r="87">
      <c r="C87" s="7" t="n"/>
      <c r="D87" s="7" t="n"/>
      <c r="E87" s="7" t="n"/>
      <c r="F87" s="7" t="n"/>
      <c r="G87" s="7" t="n"/>
      <c r="H87" s="7" t="n"/>
      <c r="I87" s="7" t="n"/>
    </row>
    <row r="88" ht="15.75" customHeight="1" thickBot="1">
      <c r="A88" s="24" t="inlineStr">
        <is>
          <t>Well Profitablity</t>
        </is>
      </c>
      <c r="B88" s="23" t="n"/>
      <c r="C88" s="7" t="n">
        <v>-168.48</v>
      </c>
      <c r="D88" s="7" t="n">
        <v>-74.22</v>
      </c>
      <c r="E88" s="7" t="n">
        <v>-3270.6</v>
      </c>
      <c r="F88" s="7" t="n">
        <v>-13461.91</v>
      </c>
      <c r="G88" s="7" t="n">
        <v>269458.5499999999</v>
      </c>
      <c r="H88" s="7" t="n">
        <v>1363035.3</v>
      </c>
      <c r="I88" s="7" t="n">
        <v>698215.95</v>
      </c>
    </row>
    <row r="89" ht="15.75" customHeight="1" thickTop="1"/>
    <row r="90">
      <c r="A90" s="2" t="inlineStr">
        <is>
          <t>SHRINK (SALES FRAC)</t>
        </is>
      </c>
      <c r="B90" s="5" t="n"/>
      <c r="C90" s="25" t="n"/>
      <c r="D90" s="25" t="n"/>
      <c r="E90" s="25" t="n"/>
      <c r="F90" s="25" t="n"/>
      <c r="G90" s="25">
        <f>G4/G104</f>
        <v/>
      </c>
      <c r="H90" s="25">
        <f>H4/H104</f>
        <v/>
      </c>
      <c r="I90" s="25">
        <f>I4/I104</f>
        <v/>
      </c>
    </row>
    <row r="91">
      <c r="A91" s="2" t="inlineStr">
        <is>
          <t>YIELD</t>
        </is>
      </c>
      <c r="B91" s="5" t="n"/>
      <c r="C91" s="50" t="n"/>
      <c r="D91" s="50" t="n"/>
      <c r="E91" s="50" t="n"/>
      <c r="F91" s="50" t="n"/>
      <c r="G91" s="50">
        <f>G5/G104*1000</f>
        <v/>
      </c>
      <c r="H91" s="50">
        <f>H5/H104*1000</f>
        <v/>
      </c>
      <c r="I91" s="50">
        <f>I5/I104*1000</f>
        <v/>
      </c>
    </row>
    <row r="92">
      <c r="A92" s="5" t="n"/>
    </row>
    <row r="93">
      <c r="A93" s="2" t="inlineStr">
        <is>
          <t xml:space="preserve">OPEX </t>
        </is>
      </c>
      <c r="C93" s="38" t="n"/>
      <c r="D93" s="38" t="n"/>
      <c r="E93" s="38" t="n"/>
      <c r="F93" s="38" t="n"/>
      <c r="G93" s="38" t="n"/>
      <c r="H93" s="38" t="n"/>
      <c r="I93" s="46" t="n"/>
    </row>
    <row r="94">
      <c r="A94" s="29" t="inlineStr">
        <is>
          <t>$/BW</t>
        </is>
      </c>
      <c r="C94" s="52" t="n"/>
      <c r="D94" s="52" t="n"/>
      <c r="E94" s="52" t="n"/>
      <c r="F94" s="52" t="n"/>
      <c r="G94" s="52" t="n"/>
      <c r="H94" s="52">
        <f>H55/H105</f>
        <v/>
      </c>
      <c r="I94" s="52">
        <f>I55/I105</f>
        <v/>
      </c>
      <c r="J94" s="34" t="n"/>
    </row>
    <row r="95">
      <c r="A95" s="30" t="inlineStr">
        <is>
          <t>Fixed LOE $</t>
        </is>
      </c>
      <c r="C95" s="39" t="n"/>
      <c r="D95" s="39" t="n"/>
      <c r="E95" s="39" t="n"/>
      <c r="F95" s="39" t="n"/>
      <c r="G95" s="39">
        <f>SUM(G34,G35,G37,G40,G44:G46,G48)</f>
        <v/>
      </c>
      <c r="H95" s="39">
        <f>SUM(H34,H35,H37,H40,H44:H46,H48)</f>
        <v/>
      </c>
      <c r="I95" s="39">
        <f>SUM(I34,I35,I37,I40,I44:I46,I48)</f>
        <v/>
      </c>
    </row>
    <row r="96">
      <c r="A96" s="1" t="inlineStr">
        <is>
          <t>Variable Expense $</t>
        </is>
      </c>
      <c r="C96" s="39" t="n"/>
      <c r="D96" s="39" t="n"/>
      <c r="E96" s="39" t="n"/>
      <c r="F96" s="39" t="n"/>
      <c r="G96" s="39">
        <f>SUM(G32:G33,G36,G38:G39,G41:G43,G47,G49:G54,G56,G86)</f>
        <v/>
      </c>
      <c r="H96" s="39">
        <f>SUM(H32:H33,H36,H38:H39,H41:H43,H47,H49:H54,H56,H86)</f>
        <v/>
      </c>
      <c r="I96" s="39">
        <f>SUM(I32:I33,I36,I38:I39,I41:I43,I47,I49:I54,I56,I86)</f>
        <v/>
      </c>
    </row>
    <row r="97">
      <c r="A97" s="1" t="inlineStr">
        <is>
          <t>Fixed $/Well</t>
        </is>
      </c>
      <c r="C97" s="39" t="n"/>
      <c r="D97" s="39" t="n"/>
      <c r="E97" s="39" t="n"/>
      <c r="F97" s="39" t="n"/>
      <c r="G97" s="39">
        <f>G95/G106</f>
        <v/>
      </c>
      <c r="H97" s="39">
        <f>H95/H106</f>
        <v/>
      </c>
      <c r="I97" s="39">
        <f>I95/I106</f>
        <v/>
      </c>
    </row>
    <row r="98">
      <c r="A98" s="1" t="inlineStr">
        <is>
          <t>Variable $/BO</t>
        </is>
      </c>
      <c r="C98" s="52" t="n"/>
      <c r="D98" s="52" t="n"/>
      <c r="E98" s="52" t="n"/>
      <c r="F98" s="52" t="n"/>
      <c r="G98" s="52">
        <f>G96/G103</f>
        <v/>
      </c>
      <c r="H98" s="52">
        <f>H96/H103</f>
        <v/>
      </c>
      <c r="I98" s="52">
        <f>I96/I103</f>
        <v/>
      </c>
    </row>
    <row r="99">
      <c r="A99" s="1" t="n"/>
      <c r="C99" s="3" t="n"/>
      <c r="D99" s="3" t="n"/>
      <c r="E99" s="3" t="n"/>
    </row>
    <row r="100">
      <c r="A100" s="1" t="inlineStr">
        <is>
          <t>LOE + WORKOVER EXCL WTR DISP</t>
        </is>
      </c>
      <c r="C100" s="39" t="n"/>
      <c r="D100" s="39" t="n"/>
      <c r="E100" s="39" t="n"/>
      <c r="F100" s="39" t="n"/>
      <c r="G100" s="39">
        <f>SUM(G86,G32:G54,G56)</f>
        <v/>
      </c>
      <c r="H100" s="39">
        <f>SUM(H86,H32:H54,H56)</f>
        <v/>
      </c>
      <c r="I100" s="39">
        <f>SUM(I86,I32:I54,I56)</f>
        <v/>
      </c>
    </row>
    <row r="101">
      <c r="A101" s="31" t="inlineStr">
        <is>
          <t>CHECK</t>
        </is>
      </c>
      <c r="C101" s="39" t="n"/>
      <c r="D101" s="39" t="n"/>
      <c r="E101" s="39" t="n"/>
      <c r="F101" s="39" t="n"/>
      <c r="G101" s="39">
        <f>(G97*G106+G98*G103)-G100</f>
        <v/>
      </c>
      <c r="H101" s="39">
        <f>(H97*H106+H98*H103)-H100</f>
        <v/>
      </c>
      <c r="I101" s="39">
        <f>(I97*I106+I98*I103)-I100</f>
        <v/>
      </c>
    </row>
    <row r="102">
      <c r="A102" s="2" t="inlineStr">
        <is>
          <t>CC Volumes</t>
        </is>
      </c>
    </row>
    <row r="103">
      <c r="A103" s="1" t="inlineStr">
        <is>
          <t>Oil</t>
        </is>
      </c>
      <c r="C103" s="44" t="n"/>
      <c r="D103" s="44" t="n"/>
      <c r="E103" s="44" t="n"/>
      <c r="F103" s="44" t="n"/>
      <c r="G103" s="44" t="n">
        <v>3433.44</v>
      </c>
      <c r="H103" s="44" t="n">
        <v>13090.16</v>
      </c>
      <c r="I103" s="44" t="n">
        <v>5679.12</v>
      </c>
    </row>
    <row r="104">
      <c r="A104" s="1" t="inlineStr">
        <is>
          <t>Gas</t>
        </is>
      </c>
      <c r="C104" s="44" t="n"/>
      <c r="D104" s="44" t="n"/>
      <c r="E104" s="44" t="n"/>
      <c r="F104" s="44" t="n"/>
      <c r="G104" s="44" t="n">
        <v>38231</v>
      </c>
      <c r="H104" s="44" t="n">
        <v>201659</v>
      </c>
      <c r="I104" s="44" t="n">
        <v>107702</v>
      </c>
    </row>
    <row r="105">
      <c r="A105" s="1" t="inlineStr">
        <is>
          <t>Water</t>
        </is>
      </c>
      <c r="C105" s="44" t="n"/>
      <c r="D105" s="44" t="n"/>
      <c r="E105" s="44" t="n"/>
      <c r="F105" s="44" t="n"/>
      <c r="G105" s="44" t="n">
        <v>11304.72</v>
      </c>
      <c r="H105" s="44" t="n">
        <v>98486.18000000001</v>
      </c>
      <c r="I105" s="44" t="n">
        <v>45906.75999999999</v>
      </c>
    </row>
    <row r="106">
      <c r="A106" s="1" t="inlineStr">
        <is>
          <t>Producing Well Count (Average)</t>
        </is>
      </c>
      <c r="C106" s="44" t="n"/>
      <c r="D106" s="44" t="n"/>
      <c r="E106" s="44" t="n"/>
      <c r="F106" s="44" t="n"/>
      <c r="G106" s="44" t="n">
        <v>1</v>
      </c>
      <c r="H106" s="44" t="n">
        <v>1</v>
      </c>
      <c r="I106" s="44" t="n">
        <v>1</v>
      </c>
    </row>
    <row r="107">
      <c r="A107" s="1" t="inlineStr">
        <is>
          <t>Producing Well Count (Max)</t>
        </is>
      </c>
      <c r="C107" s="44" t="n"/>
      <c r="D107" s="44" t="n"/>
      <c r="E107" s="44" t="n"/>
      <c r="F107" s="44" t="n"/>
      <c r="G107" s="44" t="n">
        <v>1</v>
      </c>
      <c r="H107" s="44" t="n">
        <v>1</v>
      </c>
      <c r="I107" s="44" t="n">
        <v>1</v>
      </c>
    </row>
    <row r="108"/>
    <row r="109">
      <c r="A109" s="2" t="inlineStr">
        <is>
          <t>OP HZ OPEX MODELS</t>
        </is>
      </c>
    </row>
  </sheetData>
  <pageMargins left="0.7" right="0.7" top="0.75" bottom="0.75" header="0.3" footer="0.3"/>
  <pageSetup orientation="portrait" scale="37" verticalDpi="0"/>
  <drawing xmlns:r="http://schemas.openxmlformats.org/officeDocument/2006/relationships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Stephanie Ahmed</dc:creator>
  <dcterms:created xsi:type="dcterms:W3CDTF">2025-10-09T20:53:59Z</dcterms:created>
  <dcterms:modified xsi:type="dcterms:W3CDTF">2026-10-06T17:03:31Z</dcterms:modified>
  <cp:lastModifiedBy>Jordan Huelse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0x0101001C87851DD72EF64990A42D98C7F4857E</vt:lpwstr>
  </property>
</Properties>
</file>